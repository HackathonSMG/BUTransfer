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urse_Catalog" sheetId="2" state="visible" r:id="rId4"/>
    <sheet name="Equivalency_DB" sheetId="3" state="visible" r:id="rId5"/>
    <sheet name="Past_Decisions" sheetId="4" state="visible" r:id="rId6"/>
    <sheet name="Students" sheetId="5" state="visible" r:id="rId7"/>
    <sheet name="Transcripts" sheetId="6" state="visible" r:id="rId8"/>
    <sheet name="Syllabi" sheetId="7" state="visible" r:id="rId9"/>
    <sheet name="Rules" sheetId="8" state="visible" r:id="rId10"/>
  </sheets>
  <definedNames>
    <definedName function="false" hidden="true" localSheetId="1" name="_xlnm._FilterDatabase" vbProcedure="false">Course_Catalog!$A$1:$J$143</definedName>
    <definedName function="false" hidden="true" localSheetId="2" name="_xlnm._FilterDatabase" vbProcedure="false">Equivalency_DB!$A$1:$I$63</definedName>
    <definedName function="false" hidden="true" localSheetId="3" name="_xlnm._FilterDatabase" vbProcedure="false">Past_Decisions!$A$1:$K$34</definedName>
    <definedName function="false" hidden="true" localSheetId="7" name="_xlnm._FilterDatabase" vbProcedure="false">Rules!$A$1:$E$12</definedName>
    <definedName function="false" hidden="true" localSheetId="4" name="_xlnm._FilterDatabase" vbProcedure="false">Students!$A$1:$G$5</definedName>
    <definedName function="false" hidden="true" localSheetId="6" name="_xlnm._FilterDatabase" vbProcedure="false">Syllabi!$A$1:$D$7</definedName>
    <definedName function="false" hidden="true" localSheetId="5" name="_xlnm._FilterDatabase" vbProcedure="false">Transcripts!$A$1:$O$77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<sst xmlns="http://schemas.openxmlformats.org/spreadsheetml/2006/main" count="3295" uniqueCount="1123">
  <si>
    <t xml:space="preserve">Synthetic Transfer Credit Data — BU Hackathon (Problem 1)</t>
  </si>
  <si>
    <t xml:space="preserve">What this is</t>
  </si>
  <si>
    <t xml:space="preserve">Synthetic data to fill the gaps in the supplied BU_Transfer_Program_Course_Match workbook. It adds course descriptions, sample transcripts, an equivalency database extract, past decisions and sample syllabi.</t>
  </si>
  <si>
    <t xml:space="preserve">IMPORTANT</t>
  </si>
  <si>
    <t xml:space="preserve">All descriptions, students, grades, decisions, dates and evaluator IDs are SYNTHETIC. Descriptions are paraphrased summaries written for this hackathon — not official catalogue text. Riverside Community College and Pacific Coast State University are fictional.</t>
  </si>
  <si>
    <t xml:space="preserve">Sheets</t>
  </si>
  <si>
    <t xml:space="preserve">  Course_Catalog</t>
  </si>
  <si>
    <t xml:space="preserve">Every course (BU, Northeastern, NYU + 2 fictional schools) with a synthetic description, learning outcomes and level. Use for description-based matching (embeddings / LLM).</t>
  </si>
  <si>
    <t xml:space="preserve">  Equivalency_DB</t>
  </si>
  <si>
    <t xml:space="preserve">Already-approved mappings (from "Likely equivalent" rows in Course Match + fictional ones). Step 3–4 of the workflow: exact lookup → auto-apply.</t>
  </si>
  <si>
    <t xml:space="preserve">  Past_Decisions</t>
  </si>
  <si>
    <t xml:space="preserve">Evaluator decisions on "maybe" cases, with reasons and days to decide. Use as few-shot examples, as a test set, and to measure turnaround.</t>
  </si>
  <si>
    <t xml:space="preserve">  Students</t>
  </si>
  <si>
    <t xml:space="preserve">11 synthetic transfer students. STU-001 demo scenario; STU-005 rules showcase; STU-006 Biology residency; STU-002/003 and STU-007 to STU-010 drive test cases TC-01 to TC-06; STU-011 is the live paper-transcript intake demo.</t>
  </si>
  <si>
    <t xml:space="preserve">  Transcripts</t>
  </si>
  <si>
    <t xml:space="preserve">Course rows per student. BU credits column applies the quarter rule by formula. Expected_* columns are the answer key.</t>
  </si>
  <si>
    <t xml:space="preserve">  Syllabi</t>
  </si>
  <si>
    <t xml:space="preserve">Short syllabi for the "maybe" courses, for the syllabus-review step.</t>
  </si>
  <si>
    <t xml:space="preserve">  Rules</t>
  </si>
  <si>
    <t xml:space="preserve">Business rules from the problem brief and Programs sheet, as machine-readable rows.</t>
  </si>
  <si>
    <t xml:space="preserve">Rules applied in the answer key</t>
  </si>
  <si>
    <t xml:space="preserve">Grade C or higher to transfer (C- fails). Quarter credits × 2/3, truncated to 2 decimals (4 → 2.66, 5 → 3.33). CS 320/332/350 (Group C) cannot be transferred — elective only. Economics: max 4 courses at 200+ level. Transfer courses earn no BU Hub units. All credits must be transferred within one year of BU start.</t>
  </si>
  <si>
    <t xml:space="preserve">Expected paths</t>
  </si>
  <si>
    <t xml:space="preserve">Existing equivalency → auto-apply · Maybe → dept review (tool suggests, evaluator decides) · Rule: grade below C / BU-only course · Elective / No credit from past decision.</t>
  </si>
  <si>
    <t xml:space="preserve">CSV / JSON</t>
  </si>
  <si>
    <t xml:space="preserve">The same tables are provided as CSV files and one combined JSON file for loading into code.</t>
  </si>
  <si>
    <t xml:space="preserve">Institution</t>
  </si>
  <si>
    <t xml:space="preserve">Course</t>
  </si>
  <si>
    <t xml:space="preserve">Title</t>
  </si>
  <si>
    <t xml:space="preserve">Program</t>
  </si>
  <si>
    <t xml:space="preserve">Credits</t>
  </si>
  <si>
    <t xml:space="preserve">Credit system</t>
  </si>
  <si>
    <t xml:space="preserve">Level</t>
  </si>
  <si>
    <t xml:space="preserve">Description (synthetic)</t>
  </si>
  <si>
    <t xml:space="preserve">Learning outcomes (synthetic)</t>
  </si>
  <si>
    <t xml:space="preserve">Synthetic</t>
  </si>
  <si>
    <t xml:space="preserve">Boston University</t>
  </si>
  <si>
    <t xml:space="preserve">CAS CS 111</t>
  </si>
  <si>
    <t xml:space="preserve">Introduction to Computer Science 1</t>
  </si>
  <si>
    <t xml:space="preserve">Computer Science</t>
  </si>
  <si>
    <t xml:space="preserve">Semester</t>
  </si>
  <si>
    <t xml:space="preserve">Introductory</t>
  </si>
  <si>
    <t xml:space="preserve">Introduction to programming and computational problem solving in Python. Covers variables, control flow, functions, recursion, lists and dictionaries, basic object-oriented programming and simple algorithm analysis.</t>
  </si>
  <si>
    <t xml:space="preserve">Write and debug small Python programs; decompose problems into functions; use recursion and basic data structures; reason informally about running time.</t>
  </si>
  <si>
    <t xml:space="preserve">Yes</t>
  </si>
  <si>
    <t xml:space="preserve">CAS CS 112</t>
  </si>
  <si>
    <t xml:space="preserve">Introduction to Computer Science 2</t>
  </si>
  <si>
    <t xml:space="preserve">Second course in programming using Java. Object-oriented design, abstract data types, linked lists, stacks, queues, trees, hash tables and heaps, with an introduction to asymptotic analysis of algorithms.</t>
  </si>
  <si>
    <t xml:space="preserve">Implement core data structures in Java; choose a data structure for a task; analyse algorithms with big-O notation; apply OOP principles.</t>
  </si>
  <si>
    <t xml:space="preserve">CAS CS 131</t>
  </si>
  <si>
    <t xml:space="preserve">Combinatoric Structures</t>
  </si>
  <si>
    <t xml:space="preserve">Mathematical foundations of computer science: logic, sets, functions, relations, proof techniques including induction, counting and combinatorics, graphs and discrete probability.</t>
  </si>
  <si>
    <t xml:space="preserve">Write proofs by induction and contradiction; solve counting problems; reason about graphs and relations; apply discrete probability.</t>
  </si>
  <si>
    <t xml:space="preserve">CAS CS 210</t>
  </si>
  <si>
    <t xml:space="preserve">Computer Systems</t>
  </si>
  <si>
    <t xml:space="preserve">Intermediate</t>
  </si>
  <si>
    <t xml:space="preserve">How computers execute programs: data representation, C and assembly language, memory hierarchy and caches, linking, processes, and an introduction to operating system concepts.</t>
  </si>
  <si>
    <t xml:space="preserve">Program in C and read assembly; explain number representation; reason about memory and caching; describe process and OS abstractions.</t>
  </si>
  <si>
    <t xml:space="preserve">CAS CS 330</t>
  </si>
  <si>
    <t xml:space="preserve">Introduction to the Analysis of Algorithms</t>
  </si>
  <si>
    <t xml:space="preserve">Advanced</t>
  </si>
  <si>
    <t xml:space="preserve">Design and analysis of algorithms: greedy methods, divide and conquer, dynamic programming, graph algorithms, network flow, and NP-completeness.</t>
  </si>
  <si>
    <t xml:space="preserve">Design algorithms with standard paradigms; prove correctness; analyse running time; recognise NP-complete problems.</t>
  </si>
  <si>
    <t xml:space="preserve">CAS CS 132</t>
  </si>
  <si>
    <t xml:space="preserve">Geometric Algorithms</t>
  </si>
  <si>
    <t xml:space="preserve">Linear algebra through a computational lens: vectors, matrices, linear transformations, eigenvalues, least squares, and applications to graphics, data and machine learning.</t>
  </si>
  <si>
    <t xml:space="preserve">Solve linear systems; compute eigen-decompositions; apply linear algebra to geometric and data problems in code.</t>
  </si>
  <si>
    <t xml:space="preserve">CAS CS 235</t>
  </si>
  <si>
    <t xml:space="preserve">Algebraic Algorithms</t>
  </si>
  <si>
    <t xml:space="preserve">Algebraic structures used in computing: modular arithmetic, groups, rings and fields, with applications to cryptography and error-correcting codes.</t>
  </si>
  <si>
    <t xml:space="preserve">Apply number theory and abstract algebra to RSA, hashing and coding; implement algebraic algorithms.</t>
  </si>
  <si>
    <t xml:space="preserve">CAS CS 237</t>
  </si>
  <si>
    <t xml:space="preserve">Probability in Computing</t>
  </si>
  <si>
    <t xml:space="preserve">Probability for computer scientists: discrete and continuous random variables, expectation, variance, concentration bounds, Markov chains, and randomized algorithms.</t>
  </si>
  <si>
    <t xml:space="preserve">Model computing problems probabilistically; compute expectations and tail bounds; analyse randomized algorithms.</t>
  </si>
  <si>
    <t xml:space="preserve">CAS CS 320</t>
  </si>
  <si>
    <t xml:space="preserve">Concepts of Programming Languages</t>
  </si>
  <si>
    <t xml:space="preserve">Programming language concepts: syntax, semantics, type systems, functional programming, interpreters, and comparison of language paradigms.</t>
  </si>
  <si>
    <t xml:space="preserve">Implement an interpreter; reason about types and scope; program in a functional style.</t>
  </si>
  <si>
    <t xml:space="preserve">CAS CS 332</t>
  </si>
  <si>
    <t xml:space="preserve">Elements of the Theory of Computation</t>
  </si>
  <si>
    <t xml:space="preserve">Theory of computation: finite automata, regular languages, context-free grammars, Turing machines, decidability and complexity classes.</t>
  </si>
  <si>
    <t xml:space="preserve">Construct automata and grammars; prove languages non-regular; prove undecidability; reason about P and NP.</t>
  </si>
  <si>
    <t xml:space="preserve">CAS CS 350</t>
  </si>
  <si>
    <t xml:space="preserve">Fundamentals of Computing Systems</t>
  </si>
  <si>
    <t xml:space="preserve">Fundamentals of computing systems: performance modelling, queueing, concurrency, synchronization, scheduling and resource management in operating systems.</t>
  </si>
  <si>
    <t xml:space="preserve">Model system performance; write concurrent programs; analyse scheduling and synchronization.</t>
  </si>
  <si>
    <t xml:space="preserve">CAS EC 101</t>
  </si>
  <si>
    <t xml:space="preserve">Introductory Microeconomic Analysis</t>
  </si>
  <si>
    <t xml:space="preserve">Economics</t>
  </si>
  <si>
    <t xml:space="preserve">Introductory microeconomics: supply and demand, consumer and producer behaviour, market structures, market failure and the role of government.</t>
  </si>
  <si>
    <t xml:space="preserve">Use supply-and-demand models; analyse firm behaviour across market structures; evaluate policy interventions.</t>
  </si>
  <si>
    <t xml:space="preserve">CAS EC 102</t>
  </si>
  <si>
    <t xml:space="preserve">Introductory Macroeconomic Analysis</t>
  </si>
  <si>
    <t xml:space="preserve">Introductory macroeconomics: GDP, unemployment, inflation, economic growth, money and banking, and monetary and fiscal policy.</t>
  </si>
  <si>
    <t xml:space="preserve">Interpret macroeconomic indicators; use AD-AS models; explain monetary and fiscal policy effects.</t>
  </si>
  <si>
    <t xml:space="preserve">CAS EC 201</t>
  </si>
  <si>
    <t xml:space="preserve">Intermediate Microeconomic Analysis</t>
  </si>
  <si>
    <t xml:space="preserve">Intermediate microeconomic theory using calculus: consumer choice, production and cost, general equilibrium, game theory and welfare.</t>
  </si>
  <si>
    <t xml:space="preserve">Solve constrained optimisation problems; derive demand and supply; analyse strategic interaction.</t>
  </si>
  <si>
    <t xml:space="preserve">CAS EC 202</t>
  </si>
  <si>
    <t xml:space="preserve">Intermediate Macroeconomic Analysis</t>
  </si>
  <si>
    <t xml:space="preserve">Intermediate macroeconomic theory: long-run growth models, business cycles, IS-LM and AD-AS frameworks, open-economy macroeconomics and policy.</t>
  </si>
  <si>
    <t xml:space="preserve">Build and solve growth and business-cycle models; evaluate stabilisation policy.</t>
  </si>
  <si>
    <t xml:space="preserve">CAS EC 203</t>
  </si>
  <si>
    <t xml:space="preserve">Empirical Economics 1</t>
  </si>
  <si>
    <t xml:space="preserve">Empirical economics 1: probability, sampling distributions, estimation, hypothesis testing and simple regression with economic data.</t>
  </si>
  <si>
    <t xml:space="preserve">Conduct hypothesis tests; estimate and interpret simple regressions; use statistical software.</t>
  </si>
  <si>
    <t xml:space="preserve">CAS EC 204</t>
  </si>
  <si>
    <t xml:space="preserve">Empirical Economics 2</t>
  </si>
  <si>
    <t xml:space="preserve">Empirical economics 2: multiple regression, causal inference, instrumental variables, panel data and differences-in-differences, with an applied research project.</t>
  </si>
  <si>
    <t xml:space="preserve">Estimate multivariate models; identify causal effects; complete an empirical project.</t>
  </si>
  <si>
    <t xml:space="preserve">CAS PS 101</t>
  </si>
  <si>
    <t xml:space="preserve">General Psychology</t>
  </si>
  <si>
    <t xml:space="preserve">Psychology</t>
  </si>
  <si>
    <t xml:space="preserve">Survey of psychology: research methods, biological bases of behaviour, perception, learning, memory, development, personality, social behaviour and psychological disorders.</t>
  </si>
  <si>
    <t xml:space="preserve">Describe major areas of psychology; explain basic research methods; apply concepts to everyday behaviour.</t>
  </si>
  <si>
    <t xml:space="preserve">CAS PS 211</t>
  </si>
  <si>
    <t xml:space="preserve">Experimental Design in Psychology</t>
  </si>
  <si>
    <t xml:space="preserve">Experimental design in psychology: formulating hypotheses, designing experiments, controlling variables, ethics, data collection and analysis, and writing APA-style lab reports. Includes a lab component.</t>
  </si>
  <si>
    <t xml:space="preserve">Design and run an experiment; analyse data with t-tests and ANOVA; write an APA-style research report.</t>
  </si>
  <si>
    <t xml:space="preserve">CAS PS 231</t>
  </si>
  <si>
    <t xml:space="preserve">Physiological Psychology</t>
  </si>
  <si>
    <t xml:space="preserve">Physiological psychology: neurons, neurotransmission, brain anatomy, sensory and motor systems, sleep, motivation, emotion, learning and memory from a biological perspective.</t>
  </si>
  <si>
    <t xml:space="preserve">Explain neural signalling; relate brain systems to behaviour; evaluate biological research methods.</t>
  </si>
  <si>
    <t xml:space="preserve">CAS PS 222</t>
  </si>
  <si>
    <t xml:space="preserve">Perception and Behavior</t>
  </si>
  <si>
    <t xml:space="preserve">Perception and behaviour: sensory transduction, visual and auditory perception, psychophysics, attention and perceptual organisation.</t>
  </si>
  <si>
    <t xml:space="preserve">Explain perceptual processes; apply psychophysical methods; relate perception to behaviour.</t>
  </si>
  <si>
    <t xml:space="preserve">CAS PS 336</t>
  </si>
  <si>
    <t xml:space="preserve">Introduction to Cognitive Psychology</t>
  </si>
  <si>
    <t xml:space="preserve">Introduction to cognitive psychology: attention, memory, language, problem solving, reasoning and decision making.</t>
  </si>
  <si>
    <t xml:space="preserve">Explain models of memory and attention; evaluate cognitive experiments; apply theories to real-world cognition.</t>
  </si>
  <si>
    <t xml:space="preserve">CAS PS 241</t>
  </si>
  <si>
    <t xml:space="preserve">Developmental Psychology</t>
  </si>
  <si>
    <t xml:space="preserve">Developmental psychology across the lifespan: physical, cognitive, social and emotional development from infancy through adulthood.</t>
  </si>
  <si>
    <t xml:space="preserve">Describe developmental stages and theories; evaluate developmental research designs.</t>
  </si>
  <si>
    <t xml:space="preserve">CAS PS 251</t>
  </si>
  <si>
    <t xml:space="preserve">Psychology of Personality: Theories and Application</t>
  </si>
  <si>
    <t xml:space="preserve">Psychology of personality: trait, psychodynamic, humanistic and social-cognitive theories; personality assessment and applications.</t>
  </si>
  <si>
    <t xml:space="preserve">Compare personality theories; evaluate assessment methods; apply theory to case material.</t>
  </si>
  <si>
    <t xml:space="preserve">CAS PS 261</t>
  </si>
  <si>
    <t xml:space="preserve">Social Psychology</t>
  </si>
  <si>
    <t xml:space="preserve">Social psychology: attitudes, persuasion, conformity, group processes, prejudice, attraction and prosocial behaviour.</t>
  </si>
  <si>
    <t xml:space="preserve">Explain core social-psychological phenomena; evaluate classic and modern studies.</t>
  </si>
  <si>
    <t xml:space="preserve">CAS PS 371</t>
  </si>
  <si>
    <t xml:space="preserve">Psychopathology</t>
  </si>
  <si>
    <t xml:space="preserve">Psychopathology: classification, causes and treatment of psychological disorders including anxiety, mood, psychotic and personality disorders.</t>
  </si>
  <si>
    <t xml:space="preserve">Describe DSM classification; explain aetiology models; compare treatment approaches.</t>
  </si>
  <si>
    <t xml:space="preserve">CAS BI 107</t>
  </si>
  <si>
    <t xml:space="preserve">Biology 1</t>
  </si>
  <si>
    <t xml:space="preserve">Biology</t>
  </si>
  <si>
    <t xml:space="preserve">Biology 1: chemistry of life, cell structure and function, metabolism, cell division, Mendelian and molecular genetics. Includes laboratory.</t>
  </si>
  <si>
    <t xml:space="preserve">Explain cell structure and metabolism; solve genetics problems; perform basic lab techniques.</t>
  </si>
  <si>
    <t xml:space="preserve">CAS BI 108</t>
  </si>
  <si>
    <t xml:space="preserve">Biology 2</t>
  </si>
  <si>
    <t xml:space="preserve">Biology 2: evolution, biodiversity, plant and animal physiology, and ecology. Includes laboratory.</t>
  </si>
  <si>
    <t xml:space="preserve">Explain evolutionary mechanisms; describe organismal physiology; analyse ecological data.</t>
  </si>
  <si>
    <t xml:space="preserve">CAS BI 203</t>
  </si>
  <si>
    <t xml:space="preserve">Cell Biology</t>
  </si>
  <si>
    <t xml:space="preserve">Cell biology: membranes, organelles, protein trafficking, cytoskeleton, cell signalling and the cell cycle.</t>
  </si>
  <si>
    <t xml:space="preserve">Explain cellular processes at molecular level; interpret experimental cell-biology data.</t>
  </si>
  <si>
    <t xml:space="preserve">CAS BI 206</t>
  </si>
  <si>
    <t xml:space="preserve">Genetics</t>
  </si>
  <si>
    <t xml:space="preserve">Genetics: Mendelian inheritance, linkage and mapping, chromosome biology, gene regulation, mutation and population genetics.</t>
  </si>
  <si>
    <t xml:space="preserve">Solve transmission and mapping problems; explain gene regulation; apply population-genetics models.</t>
  </si>
  <si>
    <t xml:space="preserve">CAS CH 101</t>
  </si>
  <si>
    <t xml:space="preserve">General Chemistry 1</t>
  </si>
  <si>
    <t xml:space="preserve">General chemistry 1: atomic structure, stoichiometry, chemical bonding, gases, thermochemistry and periodic trends. Includes laboratory.</t>
  </si>
  <si>
    <t xml:space="preserve">Perform stoichiometric calculations; explain bonding and periodic trends; carry out lab measurements.</t>
  </si>
  <si>
    <t xml:space="preserve">CAS CH 102</t>
  </si>
  <si>
    <t xml:space="preserve">General Chemistry 2</t>
  </si>
  <si>
    <t xml:space="preserve">General chemistry 2: kinetics, equilibrium, acids and bases, thermodynamics and electrochemistry. Includes laboratory.</t>
  </si>
  <si>
    <t xml:space="preserve">Solve equilibrium and kinetics problems; apply thermodynamics; analyse electrochemical cells.</t>
  </si>
  <si>
    <t xml:space="preserve">CAS CH 203</t>
  </si>
  <si>
    <t xml:space="preserve">Organic Chemistry 1</t>
  </si>
  <si>
    <t xml:space="preserve">Organic chemistry 1: structure, bonding, stereochemistry, nomenclature, substitution and elimination reactions. Includes laboratory.</t>
  </si>
  <si>
    <t xml:space="preserve">Name organic compounds; predict reaction mechanisms; perform organic lab techniques.</t>
  </si>
  <si>
    <t xml:space="preserve">CAS CH 204</t>
  </si>
  <si>
    <t xml:space="preserve">Organic Chemistry 2</t>
  </si>
  <si>
    <t xml:space="preserve">Organic chemistry 2: aromatic compounds, carbonyl chemistry, spectroscopy and multistep synthesis. Includes laboratory.</t>
  </si>
  <si>
    <t xml:space="preserve">Interpret NMR and IR spectra; plan multistep syntheses.</t>
  </si>
  <si>
    <t xml:space="preserve">CAS MA 123</t>
  </si>
  <si>
    <t xml:space="preserve">Calculus I</t>
  </si>
  <si>
    <t xml:space="preserve">Mathematics</t>
  </si>
  <si>
    <t xml:space="preserve">Calculus I: limits, continuity, derivatives and their applications, and an introduction to integrals.</t>
  </si>
  <si>
    <t xml:space="preserve">Compute limits and derivatives; solve optimisation and related-rates problems; evaluate basic integrals.</t>
  </si>
  <si>
    <t xml:space="preserve">CAS MA 124</t>
  </si>
  <si>
    <t xml:space="preserve">Calculus II</t>
  </si>
  <si>
    <t xml:space="preserve">Calculus II: techniques of integration, applications of integration, sequences, series and Taylor series.</t>
  </si>
  <si>
    <t xml:space="preserve">Apply integration techniques; test series for convergence; build Taylor approximations.</t>
  </si>
  <si>
    <t xml:space="preserve">CAS MA 225</t>
  </si>
  <si>
    <t xml:space="preserve">Multivariate Calculus</t>
  </si>
  <si>
    <t xml:space="preserve">Multivariate calculus: vectors, partial derivatives, multiple integrals, and vector calculus including Green's and Stokes' theorems.</t>
  </si>
  <si>
    <t xml:space="preserve">Compute partial derivatives and multiple integrals; apply vector calculus theorems.</t>
  </si>
  <si>
    <t xml:space="preserve">CAS MA 242</t>
  </si>
  <si>
    <t xml:space="preserve">Linear Algebra</t>
  </si>
  <si>
    <t xml:space="preserve">Linear algebra: systems of equations, matrices, vector spaces, determinants, eigenvalues and eigenvectors, and orthogonality.</t>
  </si>
  <si>
    <t xml:space="preserve">Solve linear systems; work with vector spaces; compute eigenvalues; prove basic results.</t>
  </si>
  <si>
    <t xml:space="preserve">CAS MA 226</t>
  </si>
  <si>
    <t xml:space="preserve">Differential Equations</t>
  </si>
  <si>
    <t xml:space="preserve">Differential equations: first-order equations, linear second-order equations, systems of equations, Laplace transforms and qualitative analysis.</t>
  </si>
  <si>
    <t xml:space="preserve">Solve ODEs analytically; analyse systems qualitatively; model physical systems.</t>
  </si>
  <si>
    <t xml:space="preserve">CAS MA 293</t>
  </si>
  <si>
    <t xml:space="preserve">Discrete Mathematics</t>
  </si>
  <si>
    <t xml:space="preserve">Discrete mathematics: logic, proofs, sets, relations, functions, combinatorics, recurrence relations and graph theory.</t>
  </si>
  <si>
    <t xml:space="preserve">Construct proofs; solve combinatorial and recurrence problems; reason about graphs.</t>
  </si>
  <si>
    <t xml:space="preserve">CAS MA 581</t>
  </si>
  <si>
    <t xml:space="preserve">Probability</t>
  </si>
  <si>
    <t xml:space="preserve">Probability theory: axioms, random variables, joint distributions, expectation, limit theorems and an introduction to stochastic processes.</t>
  </si>
  <si>
    <t xml:space="preserve">Compute probabilities and expectations; apply the law of large numbers and CLT.</t>
  </si>
  <si>
    <t xml:space="preserve">Northeastern University</t>
  </si>
  <si>
    <t xml:space="preserve">CS 2000</t>
  </si>
  <si>
    <t xml:space="preserve">Introduction to Program Design and Implementation</t>
  </si>
  <si>
    <t xml:space="preserve">Introductory program design using Python with a required lab. Data-driven design, functions, conditionals, lists, iteration, recursion and testing.</t>
  </si>
  <si>
    <t xml:space="preserve">Design programs systematically from data definitions; write tested functions; use recursion and lists.</t>
  </si>
  <si>
    <t xml:space="preserve">CS 2100</t>
  </si>
  <si>
    <t xml:space="preserve">Program Design and Implementation 1</t>
  </si>
  <si>
    <t xml:space="preserve">Program design and implementation 1 with lab: object-oriented design in Java, classes, interfaces, inheritance, testing and abstraction. Data structures are covered mainly in CS 2700.</t>
  </si>
  <si>
    <t xml:space="preserve">Design class hierarchies; write unit tests; apply abstraction and encapsulation in Java.</t>
  </si>
  <si>
    <t xml:space="preserve">CS 3100</t>
  </si>
  <si>
    <t xml:space="preserve">Program Design and Implementation 2</t>
  </si>
  <si>
    <t xml:space="preserve">Program design and implementation 2 with lab: larger-scale software design, design patterns, modularity, and team projects.</t>
  </si>
  <si>
    <t xml:space="preserve">Apply design patterns; build multi-module applications; collaborate using version control.</t>
  </si>
  <si>
    <t xml:space="preserve">CS 1800</t>
  </si>
  <si>
    <t xml:space="preserve">Discrete Structures</t>
  </si>
  <si>
    <t xml:space="preserve">Discrete structures: logic, sets, proof by induction, counting, probability, graphs, and modular arithmetic for computer science.</t>
  </si>
  <si>
    <t xml:space="preserve">Write inductive proofs; solve counting and probability problems; reason about graphs.</t>
  </si>
  <si>
    <t xml:space="preserve">CS 2700</t>
  </si>
  <si>
    <t xml:space="preserve">Data Structures and Analysis</t>
  </si>
  <si>
    <t xml:space="preserve">Data structures and analysis with lab: lists, stacks, queues, trees, heaps, hash tables, graphs and asymptotic analysis.</t>
  </si>
  <si>
    <t xml:space="preserve">Implement and analyse standard data structures; select structures for performance.</t>
  </si>
  <si>
    <t xml:space="preserve">CS 3000</t>
  </si>
  <si>
    <t xml:space="preserve">Algorithms and Data</t>
  </si>
  <si>
    <t xml:space="preserve">Algorithms and data: divide and conquer, greedy algorithms, dynamic programming, graph algorithms and intractability.</t>
  </si>
  <si>
    <t xml:space="preserve">Design and analyse algorithms; prove correctness; identify NP-hard problems.</t>
  </si>
  <si>
    <t xml:space="preserve">CS 3650</t>
  </si>
  <si>
    <t xml:space="preserve">Computer systems: C programming, machine representation, assembly, memory management, processes, threads and file systems.</t>
  </si>
  <si>
    <t xml:space="preserve">Program in C; explain memory and process abstractions; write basic concurrent code.</t>
  </si>
  <si>
    <t xml:space="preserve">CS 3800</t>
  </si>
  <si>
    <t xml:space="preserve">Theory of Computation</t>
  </si>
  <si>
    <t xml:space="preserve">Theory of computation: automata, regular and context-free languages, Turing machines, computability and complexity.</t>
  </si>
  <si>
    <t xml:space="preserve">Build automata; prove undecidability; reason about complexity classes.</t>
  </si>
  <si>
    <t xml:space="preserve">CS 4400</t>
  </si>
  <si>
    <t xml:space="preserve">Programming Languages</t>
  </si>
  <si>
    <t xml:space="preserve">Programming languages: semantics, interpreters, type systems and language design.</t>
  </si>
  <si>
    <t xml:space="preserve">Implement interpreters; reason about type safety and semantics.</t>
  </si>
  <si>
    <t xml:space="preserve">CS 2800</t>
  </si>
  <si>
    <t xml:space="preserve">Logic and Computation</t>
  </si>
  <si>
    <t xml:space="preserve">Logic and computation: propositional and predicate logic, formal reasoning about programs, and theorem proving.</t>
  </si>
  <si>
    <t xml:space="preserve">Prove program properties formally; use a theorem prover.</t>
  </si>
  <si>
    <t xml:space="preserve">DS 3000</t>
  </si>
  <si>
    <t xml:space="preserve">Mathematical Foundations of Artificial Intelligence</t>
  </si>
  <si>
    <t xml:space="preserve">Mathematical foundations of AI: linear algebra, probability and optimisation applied to machine-learning models.</t>
  </si>
  <si>
    <t xml:space="preserve">Apply linear algebra and probability to ML; implement gradient-based optimisation.</t>
  </si>
  <si>
    <t xml:space="preserve">ECON 1116</t>
  </si>
  <si>
    <t xml:space="preserve">Principles of Microeconomics</t>
  </si>
  <si>
    <t xml:space="preserve">Principles of microeconomics: markets, supply and demand, elasticity, firm behaviour, competition and market failure.</t>
  </si>
  <si>
    <t xml:space="preserve">Analyse markets with supply and demand; compare market structures; assess policy.</t>
  </si>
  <si>
    <t xml:space="preserve">ECON 1115</t>
  </si>
  <si>
    <t xml:space="preserve">Principles of Macroeconomics</t>
  </si>
  <si>
    <t xml:space="preserve">Principles of macroeconomics: national income, unemployment, inflation, growth, money and stabilisation policy.</t>
  </si>
  <si>
    <t xml:space="preserve">Interpret macro data; use AD-AS models; explain monetary and fiscal policy.</t>
  </si>
  <si>
    <t xml:space="preserve">ECON 2316</t>
  </si>
  <si>
    <t xml:space="preserve">Microeconomic Theory</t>
  </si>
  <si>
    <t xml:space="preserve">Microeconomic theory with calculus: consumer and producer theory, equilibrium, game theory and welfare.</t>
  </si>
  <si>
    <t xml:space="preserve">Solve optimisation problems; analyse equilibrium and strategic behaviour.</t>
  </si>
  <si>
    <t xml:space="preserve">ECON 2315</t>
  </si>
  <si>
    <t xml:space="preserve">Macroeconomic Theory</t>
  </si>
  <si>
    <t xml:space="preserve">Macroeconomic theory: growth, business cycles, IS-LM, open economy and policy analysis.</t>
  </si>
  <si>
    <t xml:space="preserve">Build macro models; evaluate policy using formal frameworks.</t>
  </si>
  <si>
    <t xml:space="preserve">ECON 2350</t>
  </si>
  <si>
    <t xml:space="preserve">Statistics for Economists</t>
  </si>
  <si>
    <t xml:space="preserve">Statistics for economists: probability, estimation, hypothesis testing and simple regression using economic data.</t>
  </si>
  <si>
    <t xml:space="preserve">Run hypothesis tests; estimate simple regressions; interpret results.</t>
  </si>
  <si>
    <t xml:space="preserve">ECON 2560</t>
  </si>
  <si>
    <t xml:space="preserve">Applied Econometrics</t>
  </si>
  <si>
    <t xml:space="preserve">Applied econometrics: multiple regression, specification, heteroskedasticity, and an applied data project. Limited coverage of instrumental variables.</t>
  </si>
  <si>
    <t xml:space="preserve">Estimate and diagnose regression models; complete an applied project.</t>
  </si>
  <si>
    <t xml:space="preserve">PSYC 1101</t>
  </si>
  <si>
    <t xml:space="preserve">Foundations of Psychology</t>
  </si>
  <si>
    <t xml:space="preserve">Foundations of psychology: methods, neuroscience, sensation, learning, memory, development, social behaviour and disorders.</t>
  </si>
  <si>
    <t xml:space="preserve">Describe major psychological domains; explain research methods.</t>
  </si>
  <si>
    <t xml:space="preserve">PSYC 2320</t>
  </si>
  <si>
    <t xml:space="preserve">Statistics in Psychological Research</t>
  </si>
  <si>
    <t xml:space="preserve">Statistics in psychological research: descriptive statistics, probability, t-tests, ANOVA, correlation and regression using software. Little coverage of designing or running experiments.</t>
  </si>
  <si>
    <t xml:space="preserve">Compute and interpret descriptive and inferential statistics; report results in APA style.</t>
  </si>
  <si>
    <t xml:space="preserve">PSYC 3458</t>
  </si>
  <si>
    <t xml:space="preserve">Biological Psychology</t>
  </si>
  <si>
    <t xml:space="preserve">Biological psychology: neurons, neurotransmitters, brain systems, sensation, motivation, emotion and memory.</t>
  </si>
  <si>
    <t xml:space="preserve">Explain neural mechanisms of behaviour; evaluate biological research.</t>
  </si>
  <si>
    <t xml:space="preserve">PSYC 3402</t>
  </si>
  <si>
    <t xml:space="preserve">Social psychology: attitudes, social influence, group behaviour, prejudice and relationships.</t>
  </si>
  <si>
    <t xml:space="preserve">Explain social-psychological phenomena; evaluate research.</t>
  </si>
  <si>
    <t xml:space="preserve">PSYC 3404</t>
  </si>
  <si>
    <t xml:space="preserve">Developmental psychology from infancy through adolescence and adulthood.</t>
  </si>
  <si>
    <t xml:space="preserve">Describe developmental theories and stages; evaluate research designs.</t>
  </si>
  <si>
    <t xml:space="preserve">PSYC 3464</t>
  </si>
  <si>
    <t xml:space="preserve">Psychology of Language</t>
  </si>
  <si>
    <t xml:space="preserve">Psychology of language: speech perception, word recognition, sentence processing and language acquisition.</t>
  </si>
  <si>
    <t xml:space="preserve">Explain models of language processing and acquisition.</t>
  </si>
  <si>
    <t xml:space="preserve">BIOL 1107</t>
  </si>
  <si>
    <t xml:space="preserve">Foundations of Biology</t>
  </si>
  <si>
    <t xml:space="preserve">Foundations of biology with lab: biomolecules, cells, metabolism, genetics and evolution.</t>
  </si>
  <si>
    <t xml:space="preserve">Explain cellular and genetic principles; perform lab techniques.</t>
  </si>
  <si>
    <t xml:space="preserve">BIOL 1113</t>
  </si>
  <si>
    <t xml:space="preserve">General Biology 2</t>
  </si>
  <si>
    <t xml:space="preserve">General biology 2: evolution, diversity of life, physiology and ecology.</t>
  </si>
  <si>
    <t xml:space="preserve">Explain evolutionary and ecological concepts; describe physiology.</t>
  </si>
  <si>
    <t xml:space="preserve">BIOL 2299</t>
  </si>
  <si>
    <t xml:space="preserve">Inquiries in Biological Sciences</t>
  </si>
  <si>
    <t xml:space="preserve">Inquiries in biological sciences: scientific reasoning, experimental design and reading primary literature.</t>
  </si>
  <si>
    <t xml:space="preserve">Design biological experiments; critique primary research.</t>
  </si>
  <si>
    <t xml:space="preserve">BIOL 2301</t>
  </si>
  <si>
    <t xml:space="preserve">Genetics and Molecular Biology</t>
  </si>
  <si>
    <t xml:space="preserve">Genetics and molecular biology with lab: inheritance, DNA replication, transcription, translation, gene regulation and molecular techniques.</t>
  </si>
  <si>
    <t xml:space="preserve">Solve genetics problems; explain molecular processes; perform PCR and gel electrophoresis.</t>
  </si>
  <si>
    <t xml:space="preserve">BIOL 3611</t>
  </si>
  <si>
    <t xml:space="preserve">Biochemistry</t>
  </si>
  <si>
    <t xml:space="preserve">Biochemistry with lab: protein structure, enzymes, metabolism and bioenergetics.</t>
  </si>
  <si>
    <t xml:space="preserve">Explain enzyme kinetics and metabolic pathways.</t>
  </si>
  <si>
    <t xml:space="preserve">CHEM 1161</t>
  </si>
  <si>
    <t xml:space="preserve">General Chemistry for Science Majors</t>
  </si>
  <si>
    <t xml:space="preserve">Accelerated one-semester general chemistry with lab and recitation: atomic structure, bonding, stoichiometry, gases, thermochemistry, equilibrium, acids and bases, kinetics.</t>
  </si>
  <si>
    <t xml:space="preserve">Solve stoichiometry, equilibrium and kinetics problems; perform lab measurements.</t>
  </si>
  <si>
    <t xml:space="preserve">CHEM 2311</t>
  </si>
  <si>
    <t xml:space="preserve">Organic chemistry 1 with lab: structure, stereochemistry, substitution and elimination.</t>
  </si>
  <si>
    <t xml:space="preserve">Predict mechanisms; name compounds; perform lab techniques.</t>
  </si>
  <si>
    <t xml:space="preserve">CHEM 2313</t>
  </si>
  <si>
    <t xml:space="preserve">Organic chemistry 2 with lab: aromatic and carbonyl chemistry, spectroscopy and synthesis.</t>
  </si>
  <si>
    <t xml:space="preserve">Interpret spectra; plan syntheses.</t>
  </si>
  <si>
    <t xml:space="preserve">MATH 1341</t>
  </si>
  <si>
    <t xml:space="preserve">Calculus 1 for Science and Engineering</t>
  </si>
  <si>
    <t xml:space="preserve">Calculus 1 for science and engineering: limits, derivatives, applications and introduction to integration.</t>
  </si>
  <si>
    <t xml:space="preserve">Compute derivatives; solve applied rate and optimisation problems.</t>
  </si>
  <si>
    <t xml:space="preserve">MATH 1342</t>
  </si>
  <si>
    <t xml:space="preserve">Calculus 2 for Science and Engineering</t>
  </si>
  <si>
    <t xml:space="preserve">Calculus 2: integration techniques, applications, sequences and series.</t>
  </si>
  <si>
    <t xml:space="preserve">Apply integration methods; test convergence of series.</t>
  </si>
  <si>
    <t xml:space="preserve">MATH 2321</t>
  </si>
  <si>
    <t xml:space="preserve">Calculus 3 for Science and Engineering</t>
  </si>
  <si>
    <t xml:space="preserve">Calculus 3: vectors, partial derivatives, multiple integrals and vector calculus.</t>
  </si>
  <si>
    <t xml:space="preserve">Compute multiple integrals; apply vector calculus theorems.</t>
  </si>
  <si>
    <t xml:space="preserve">MATH 2331</t>
  </si>
  <si>
    <t xml:space="preserve">Linear algebra: matrices, vector spaces, linear transformations, eigenvalues and orthogonality, with emphasis on proofs.</t>
  </si>
  <si>
    <t xml:space="preserve">Solve linear systems; prove results about vector spaces; compute eigenvalues.</t>
  </si>
  <si>
    <t xml:space="preserve">MATH 2341</t>
  </si>
  <si>
    <t xml:space="preserve">Differential Equations and Linear Algebra for Engineering</t>
  </si>
  <si>
    <t xml:space="preserve">Differential equations and linear algebra for engineering: first- and second-order ODEs, systems, and supporting matrix methods.</t>
  </si>
  <si>
    <t xml:space="preserve">Solve ODEs and linear systems; model engineering problems.</t>
  </si>
  <si>
    <t xml:space="preserve">MATH 1365</t>
  </si>
  <si>
    <t xml:space="preserve">Introduction to Mathematical Reasoning</t>
  </si>
  <si>
    <t xml:space="preserve">Introduction to mathematical reasoning: logic, proof techniques, sets, functions and basic number theory.</t>
  </si>
  <si>
    <t xml:space="preserve">Write rigorous proofs; use set and function notation.</t>
  </si>
  <si>
    <t xml:space="preserve">MATH 3081</t>
  </si>
  <si>
    <t xml:space="preserve">Probability and Statistics</t>
  </si>
  <si>
    <t xml:space="preserve">Probability and statistics: probability, random variables, distributions, estimation and hypothesis testing.</t>
  </si>
  <si>
    <t xml:space="preserve">Compute probabilities; perform estimation and tests.</t>
  </si>
  <si>
    <t xml:space="preserve">New York University</t>
  </si>
  <si>
    <t xml:space="preserve">CSCI-UA 101</t>
  </si>
  <si>
    <t xml:space="preserve">Intro to Computer Science</t>
  </si>
  <si>
    <t xml:space="preserve">Introduction to computer science using Python: problem solving, control structures, functions, recursion and basic data structures.</t>
  </si>
  <si>
    <t xml:space="preserve">Write Python programs; use functions and recursion; apply basic data structures.</t>
  </si>
  <si>
    <t xml:space="preserve">CSCI-UA 102</t>
  </si>
  <si>
    <t xml:space="preserve">Data Structures</t>
  </si>
  <si>
    <t xml:space="preserve">Data structures in Java: lists, stacks, queues, trees, hashing, heaps, sorting and algorithm analysis.</t>
  </si>
  <si>
    <t xml:space="preserve">Implement and analyse core data structures in Java.</t>
  </si>
  <si>
    <t xml:space="preserve">CSCI-UA 201</t>
  </si>
  <si>
    <t xml:space="preserve">Computer Systems Organization</t>
  </si>
  <si>
    <t xml:space="preserve">Computer systems organisation: C, data representation, assembly, memory hierarchy and linking.</t>
  </si>
  <si>
    <t xml:space="preserve">Program in C; read assembly; reason about memory.</t>
  </si>
  <si>
    <t xml:space="preserve">CSCI-UA 202</t>
  </si>
  <si>
    <t xml:space="preserve">Operating Systems</t>
  </si>
  <si>
    <t xml:space="preserve">Operating systems: processes, threads, scheduling, synchronisation, memory management and file systems.</t>
  </si>
  <si>
    <t xml:space="preserve">Explain OS mechanisms; write concurrent programs.</t>
  </si>
  <si>
    <t xml:space="preserve">CSCI-UA 310</t>
  </si>
  <si>
    <t xml:space="preserve">Basic Algorithms</t>
  </si>
  <si>
    <t xml:space="preserve">Basic algorithms: sorting, divide and conquer, dynamic programming, greedy algorithms and graph algorithms.</t>
  </si>
  <si>
    <t xml:space="preserve">Design and analyse algorithms; prove correctness.</t>
  </si>
  <si>
    <t xml:space="preserve">CSCI-UA 453</t>
  </si>
  <si>
    <t xml:space="preserve">Theory of computation: automata, grammars, Turing machines, decidability and complexity.</t>
  </si>
  <si>
    <t xml:space="preserve">Construct automata; prove undecidability.</t>
  </si>
  <si>
    <t xml:space="preserve">MATH-UA 120</t>
  </si>
  <si>
    <t xml:space="preserve">Discrete mathematics: logic, proofs, induction, sets, counting, graphs and probability.</t>
  </si>
  <si>
    <t xml:space="preserve">Write proofs; solve counting problems; reason about graphs.</t>
  </si>
  <si>
    <t xml:space="preserve">ECON-UA 2</t>
  </si>
  <si>
    <t xml:space="preserve">Introduction to Microeconomics</t>
  </si>
  <si>
    <t xml:space="preserve">Introduction to microeconomics: supply and demand, consumer and firm behaviour, market structures and welfare.</t>
  </si>
  <si>
    <t xml:space="preserve">Use supply-and-demand analysis; compare market structures.</t>
  </si>
  <si>
    <t xml:space="preserve">ECON-UA 1</t>
  </si>
  <si>
    <t xml:space="preserve">Introduction to Macroeconomics</t>
  </si>
  <si>
    <t xml:space="preserve">Introduction to macroeconomics: output, unemployment, inflation, growth and policy.</t>
  </si>
  <si>
    <t xml:space="preserve">Interpret macro indicators; explain policy.</t>
  </si>
  <si>
    <t xml:space="preserve">ECON-UA 10</t>
  </si>
  <si>
    <t xml:space="preserve">Intermediate Microeconomics</t>
  </si>
  <si>
    <t xml:space="preserve">Intermediate microeconomics (policy track): consumer and producer theory, markets, game theory and welfare.</t>
  </si>
  <si>
    <t xml:space="preserve">Apply optimisation; analyse markets and strategy.</t>
  </si>
  <si>
    <t xml:space="preserve">ECON-UA 12</t>
  </si>
  <si>
    <t xml:space="preserve">Intermediate Macroeconomics</t>
  </si>
  <si>
    <t xml:space="preserve">Intermediate macroeconomics (policy track): growth, cycles, IS-LM, open economy and policy.</t>
  </si>
  <si>
    <t xml:space="preserve">Build and apply macro models.</t>
  </si>
  <si>
    <t xml:space="preserve">ECON-UA 18</t>
  </si>
  <si>
    <t xml:space="preserve">Statistics</t>
  </si>
  <si>
    <t xml:space="preserve">Statistics: probability, sampling, estimation, hypothesis testing and regression for economics.</t>
  </si>
  <si>
    <t xml:space="preserve">Perform statistical inference; estimate regressions.</t>
  </si>
  <si>
    <t xml:space="preserve">ECON-UA 266</t>
  </si>
  <si>
    <t xml:space="preserve">Intro to Econometrics</t>
  </si>
  <si>
    <t xml:space="preserve">Introduction to econometrics: multiple regression, inference, specification and an introduction to causal methods.</t>
  </si>
  <si>
    <t xml:space="preserve">Estimate and interpret multivariate models.</t>
  </si>
  <si>
    <t xml:space="preserve">PSYCH-UA 1</t>
  </si>
  <si>
    <t xml:space="preserve">Intro to Psychology</t>
  </si>
  <si>
    <t xml:space="preserve">Introduction to psychology: methods, biology, perception, learning, memory, development, social and clinical psychology.</t>
  </si>
  <si>
    <t xml:space="preserve">Describe psychological domains and methods.</t>
  </si>
  <si>
    <t xml:space="preserve">PSYCH-UA 10</t>
  </si>
  <si>
    <t xml:space="preserve">Statistics for the Behavioral Sciences</t>
  </si>
  <si>
    <t xml:space="preserve">Statistics for the behavioural sciences: descriptive and inferential statistics, t-tests, ANOVA, correlation and regression.</t>
  </si>
  <si>
    <t xml:space="preserve">Compute and interpret statistics for behavioural data.</t>
  </si>
  <si>
    <t xml:space="preserve">PSYCH-UA 11</t>
  </si>
  <si>
    <t xml:space="preserve">Statistics and Data Analysis for Research in Psychology</t>
  </si>
  <si>
    <t xml:space="preserve">Statistics and data analysis for research in psychology, with lab: research design, data collection and analysis, APA-style reporting.</t>
  </si>
  <si>
    <t xml:space="preserve">Design studies; analyse data; write APA reports.</t>
  </si>
  <si>
    <t xml:space="preserve">PSYCH-UA 22</t>
  </si>
  <si>
    <t xml:space="preserve">Perception</t>
  </si>
  <si>
    <t xml:space="preserve">Perception: sensory systems, psychophysics, visual and auditory perception and attention.</t>
  </si>
  <si>
    <t xml:space="preserve">Explain perceptual processes; apply psychophysical methods.</t>
  </si>
  <si>
    <t xml:space="preserve">PSYCH-UA 25</t>
  </si>
  <si>
    <t xml:space="preserve">Cognitive Neuroscience</t>
  </si>
  <si>
    <t xml:space="preserve">Cognitive neuroscience: neural bases of perception, attention, memory, language and decision making; neuroimaging methods.</t>
  </si>
  <si>
    <t xml:space="preserve">Relate brain systems to cognition; evaluate neuroimaging evidence.</t>
  </si>
  <si>
    <t xml:space="preserve">PSYCH-UA 29</t>
  </si>
  <si>
    <t xml:space="preserve">Cognition</t>
  </si>
  <si>
    <t xml:space="preserve">Cognition: attention, memory, language, reasoning and decision making.</t>
  </si>
  <si>
    <t xml:space="preserve">Explain cognitive models; evaluate experiments.</t>
  </si>
  <si>
    <t xml:space="preserve">PSYCH-UA 30</t>
  </si>
  <si>
    <t xml:space="preserve">Personality</t>
  </si>
  <si>
    <t xml:space="preserve">Personality: major theories, assessment and research.</t>
  </si>
  <si>
    <t xml:space="preserve">Compare personality theories; evaluate assessments.</t>
  </si>
  <si>
    <t xml:space="preserve">PSYCH-UA 32</t>
  </si>
  <si>
    <t xml:space="preserve">Social psychology: attitudes, influence, groups, prejudice and relationships.</t>
  </si>
  <si>
    <t xml:space="preserve">Explain social-psychological phenomena.</t>
  </si>
  <si>
    <t xml:space="preserve">PSYCH-UA 34</t>
  </si>
  <si>
    <t xml:space="preserve">Developmental psychology: cognitive, social and emotional development across the lifespan.</t>
  </si>
  <si>
    <t xml:space="preserve">Describe developmental theories and stages.</t>
  </si>
  <si>
    <t xml:space="preserve">PSYCH-UA 51</t>
  </si>
  <si>
    <t xml:space="preserve">Abnormal Psychology</t>
  </si>
  <si>
    <t xml:space="preserve">Abnormal psychology: classification, causes and treatment of psychological disorders.</t>
  </si>
  <si>
    <t xml:space="preserve">Describe disorders and treatment approaches.</t>
  </si>
  <si>
    <t xml:space="preserve">BIOL-UA 11</t>
  </si>
  <si>
    <t xml:space="preserve">Principles of Biology I</t>
  </si>
  <si>
    <t xml:space="preserve">Principles of biology I with lab: cells, molecules, metabolism and genetics.</t>
  </si>
  <si>
    <t xml:space="preserve">Explain cellular and genetic principles.</t>
  </si>
  <si>
    <t xml:space="preserve">BIOL-UA 12</t>
  </si>
  <si>
    <t xml:space="preserve">Principles of Biology II</t>
  </si>
  <si>
    <t xml:space="preserve">Principles of biology II with lab: evolution, physiology and ecology.</t>
  </si>
  <si>
    <t xml:space="preserve">Explain evolution, physiology and ecology.</t>
  </si>
  <si>
    <t xml:space="preserve">BIOL-UA 21</t>
  </si>
  <si>
    <t xml:space="preserve">Molecular and Cell Biology I</t>
  </si>
  <si>
    <t xml:space="preserve">Molecular and cell biology I: DNA, gene expression, membranes, organelles and signalling.</t>
  </si>
  <si>
    <t xml:space="preserve">Explain molecular and cellular processes.</t>
  </si>
  <si>
    <t xml:space="preserve">BIOL-UA 30</t>
  </si>
  <si>
    <t xml:space="preserve">Genetics: inheritance, mapping, gene regulation and population genetics.</t>
  </si>
  <si>
    <t xml:space="preserve">Solve genetics problems; explain gene regulation.</t>
  </si>
  <si>
    <t xml:space="preserve">CHEM-UA 125</t>
  </si>
  <si>
    <t xml:space="preserve">General Chemistry I</t>
  </si>
  <si>
    <t xml:space="preserve">General chemistry I with lab: atomic structure, bonding, stoichiometry, gases and thermochemistry.</t>
  </si>
  <si>
    <t xml:space="preserve">Perform stoichiometric calculations; explain bonding.</t>
  </si>
  <si>
    <t xml:space="preserve">CHEM-UA 126</t>
  </si>
  <si>
    <t xml:space="preserve">General Chemistry II</t>
  </si>
  <si>
    <t xml:space="preserve">General chemistry II with lab: kinetics, equilibrium, acids and bases, thermodynamics and electrochemistry.</t>
  </si>
  <si>
    <t xml:space="preserve">Solve equilibrium and kinetics problems.</t>
  </si>
  <si>
    <t xml:space="preserve">CHEM-UA 225</t>
  </si>
  <si>
    <t xml:space="preserve">Organic Chemistry I</t>
  </si>
  <si>
    <t xml:space="preserve">Organic chemistry I with lab: structure, stereochemistry and reaction mechanisms.</t>
  </si>
  <si>
    <t xml:space="preserve">Predict mechanisms; name compounds.</t>
  </si>
  <si>
    <t xml:space="preserve">CHEM-UA 226</t>
  </si>
  <si>
    <t xml:space="preserve">Organic Chemistry II</t>
  </si>
  <si>
    <t xml:space="preserve">Organic chemistry II with lab: carbonyl and aromatic chemistry, spectroscopy and synthesis.</t>
  </si>
  <si>
    <t xml:space="preserve">MATH-UA 121</t>
  </si>
  <si>
    <t xml:space="preserve">Calculus I: limits, derivatives, applications and introduction to integrals.</t>
  </si>
  <si>
    <t xml:space="preserve">Compute derivatives; solve applied problems.</t>
  </si>
  <si>
    <t xml:space="preserve">MATH-UA 122</t>
  </si>
  <si>
    <t xml:space="preserve">Calculus II: integration techniques, applications, sequences and series.</t>
  </si>
  <si>
    <t xml:space="preserve">Apply integration methods; test series.</t>
  </si>
  <si>
    <t xml:space="preserve">MATH-UA 123</t>
  </si>
  <si>
    <t xml:space="preserve">Calculus III</t>
  </si>
  <si>
    <t xml:space="preserve">Calculus III: multivariable calculus and vector analysis.</t>
  </si>
  <si>
    <t xml:space="preserve">Compute partial derivatives and multiple integrals.</t>
  </si>
  <si>
    <t xml:space="preserve">MATH-UA 140</t>
  </si>
  <si>
    <t xml:space="preserve">Linear algebra: linear systems, vector spaces, linear maps, determinants and eigenvalues.</t>
  </si>
  <si>
    <t xml:space="preserve">Solve systems; compute eigenvalues; prove basic results.</t>
  </si>
  <si>
    <t xml:space="preserve">MATH-UA 262</t>
  </si>
  <si>
    <t xml:space="preserve">Ordinary Differential Equations</t>
  </si>
  <si>
    <t xml:space="preserve">Ordinary differential equations: first-order, linear and systems of ODEs, with qualitative methods.</t>
  </si>
  <si>
    <t xml:space="preserve">Solve and analyse ODEs.</t>
  </si>
  <si>
    <t xml:space="preserve">MATH-UA 233</t>
  </si>
  <si>
    <t xml:space="preserve">Theory of Probability</t>
  </si>
  <si>
    <t xml:space="preserve">Theory of probability: random variables, distributions, expectation, limit theorems.</t>
  </si>
  <si>
    <t xml:space="preserve">Compute probabilities; apply limit theorems.</t>
  </si>
  <si>
    <t xml:space="preserve">MATH-UA 235</t>
  </si>
  <si>
    <t xml:space="preserve">Probability &amp; Statistics</t>
  </si>
  <si>
    <t xml:space="preserve">Probability and statistics: probability models, estimation and hypothesis testing.</t>
  </si>
  <si>
    <t xml:space="preserve">Perform estimation and testing.</t>
  </si>
  <si>
    <t xml:space="preserve">Riverside Community College</t>
  </si>
  <si>
    <t xml:space="preserve">CSC 110</t>
  </si>
  <si>
    <t xml:space="preserve">Programming Fundamentals with Python</t>
  </si>
  <si>
    <t xml:space="preserve">Programming fundamentals in Python: variables, decisions, loops, functions, lists, dictionaries, file input/output and an introduction to classes and recursion.</t>
  </si>
  <si>
    <t xml:space="preserve">Write structured Python programs; use functions, lists and dictionaries; apply simple recursion.</t>
  </si>
  <si>
    <t xml:space="preserve">CSC 220</t>
  </si>
  <si>
    <t xml:space="preserve">Data Structures in Java</t>
  </si>
  <si>
    <t xml:space="preserve">Data structures in Java: classes and interfaces, linked lists, stacks, queues, binary search trees, hashing, sorting and searching, with big-O analysis. Prerequisite CSC 110.</t>
  </si>
  <si>
    <t xml:space="preserve">Implement linked lists, stacks, queues and BSTs in Java; compare sorting algorithms; use big-O notation.</t>
  </si>
  <si>
    <t xml:space="preserve">CSC 150</t>
  </si>
  <si>
    <t xml:space="preserve">Discrete Mathematics for Computing</t>
  </si>
  <si>
    <t xml:space="preserve">Discrete mathematics for computing: propositional logic, sets, functions, basic counting, Boolean algebra and introductory graph theory. Proof by induction covered briefly.</t>
  </si>
  <si>
    <t xml:space="preserve">Use logic and set notation; solve basic counting problems; describe graphs.</t>
  </si>
  <si>
    <t xml:space="preserve">MAT 151</t>
  </si>
  <si>
    <t xml:space="preserve">Calculus I: limits, continuity, derivatives, applications of derivatives and introduction to definite integrals.</t>
  </si>
  <si>
    <t xml:space="preserve">Compute limits and derivatives; solve optimisation problems.</t>
  </si>
  <si>
    <t xml:space="preserve">MAT 152</t>
  </si>
  <si>
    <t xml:space="preserve">Calculus II: integration techniques, applications of integrals, sequences, series and power series.</t>
  </si>
  <si>
    <t xml:space="preserve">Apply integration techniques; test series convergence.</t>
  </si>
  <si>
    <t xml:space="preserve">MAT 210</t>
  </si>
  <si>
    <t xml:space="preserve">Elementary Statistics</t>
  </si>
  <si>
    <t xml:space="preserve">Elementary statistics: descriptive statistics, probability, normal distribution, confidence intervals, hypothesis tests and simple linear regression. Non-calculus.</t>
  </si>
  <si>
    <t xml:space="preserve">Summarise data; construct confidence intervals; perform hypothesis tests.</t>
  </si>
  <si>
    <t xml:space="preserve">ECO 201</t>
  </si>
  <si>
    <t xml:space="preserve">Principles of microeconomics: scarcity, supply and demand, elasticity, consumer choice, costs of production, market structures.</t>
  </si>
  <si>
    <t xml:space="preserve">Use supply and demand; analyse firm decisions.</t>
  </si>
  <si>
    <t xml:space="preserve">ECO 202</t>
  </si>
  <si>
    <t xml:space="preserve">Principles of macroeconomics: GDP, inflation, unemployment, money and banking, fiscal and monetary policy.</t>
  </si>
  <si>
    <t xml:space="preserve">Interpret macro indicators; explain policy tools.</t>
  </si>
  <si>
    <t xml:space="preserve">PSY 101</t>
  </si>
  <si>
    <t xml:space="preserve">Introduction to Psychology</t>
  </si>
  <si>
    <t xml:space="preserve">Introduction to psychology: history, methods, biology of behaviour, learning, memory, development, personality and disorders.</t>
  </si>
  <si>
    <t xml:space="preserve">Describe major areas of psychology.</t>
  </si>
  <si>
    <t xml:space="preserve">PSY 210</t>
  </si>
  <si>
    <t xml:space="preserve">Research Methods in the Behavioral Sciences</t>
  </si>
  <si>
    <t xml:space="preserve">Research methods in the behavioural sciences: hypotheses, experimental and correlational designs, ethics, data collection, descriptive and basic inferential statistics, and an APA-style research proposal. Includes a small lab experiment.</t>
  </si>
  <si>
    <t xml:space="preserve">Design a simple experiment; apply research ethics; analyse data with t-tests; write an APA report.</t>
  </si>
  <si>
    <t xml:space="preserve">BIO 121</t>
  </si>
  <si>
    <t xml:space="preserve">General Biology I</t>
  </si>
  <si>
    <t xml:space="preserve">General biology I with lab: chemistry of life, cells, metabolism, cell division and genetics.</t>
  </si>
  <si>
    <t xml:space="preserve">Explain cell structure and genetics; perform lab techniques.</t>
  </si>
  <si>
    <t xml:space="preserve">CHM 111</t>
  </si>
  <si>
    <t xml:space="preserve">General Chemistry I with Lab</t>
  </si>
  <si>
    <t xml:space="preserve">General chemistry I with lab: atomic structure, stoichiometry, bonding, gases and thermochemistry.</t>
  </si>
  <si>
    <t xml:space="preserve">ENG 101</t>
  </si>
  <si>
    <t xml:space="preserve">English Composition I</t>
  </si>
  <si>
    <t xml:space="preserve">General Education</t>
  </si>
  <si>
    <t xml:space="preserve">English composition I: academic writing, argument, research and citation.</t>
  </si>
  <si>
    <t xml:space="preserve">Write a researched argumentative essay.</t>
  </si>
  <si>
    <t xml:space="preserve">KIN 105</t>
  </si>
  <si>
    <t xml:space="preserve">Fitness and Wellness</t>
  </si>
  <si>
    <t xml:space="preserve">Fitness and wellness: personal fitness planning, nutrition and healthy lifestyle.</t>
  </si>
  <si>
    <t xml:space="preserve">Design a personal fitness plan.</t>
  </si>
  <si>
    <t xml:space="preserve">Pacific Coast State University</t>
  </si>
  <si>
    <t xml:space="preserve">MATH 22</t>
  </si>
  <si>
    <t xml:space="preserve">Quarter</t>
  </si>
  <si>
    <t xml:space="preserve">Linear algebra (10-week quarter): systems of linear equations, matrices, determinants, vector spaces, eigenvalues and eigenvectors.</t>
  </si>
  <si>
    <t xml:space="preserve">Solve linear systems; compute eigenvalues; work with vector spaces.</t>
  </si>
  <si>
    <t xml:space="preserve">MATH 19A</t>
  </si>
  <si>
    <t xml:space="preserve">Calculus for Science I</t>
  </si>
  <si>
    <t xml:space="preserve">Calculus for science I (quarter): limits, derivatives and applications.</t>
  </si>
  <si>
    <t xml:space="preserve">MATH 19B</t>
  </si>
  <si>
    <t xml:space="preserve">Calculus for Science II</t>
  </si>
  <si>
    <t xml:space="preserve">Calculus for science II (quarter): integrals, techniques and applications of integration.</t>
  </si>
  <si>
    <t xml:space="preserve">Evaluate integrals; apply integration.</t>
  </si>
  <si>
    <t xml:space="preserve">CSE 30</t>
  </si>
  <si>
    <t xml:space="preserve">Programming Abstractions in Python</t>
  </si>
  <si>
    <t xml:space="preserve">Programming abstractions in Python (quarter): recursion, object-oriented programming, linked structures, trees and basic algorithm analysis.</t>
  </si>
  <si>
    <t xml:space="preserve">Write recursive and object-oriented Python; implement linked structures.</t>
  </si>
  <si>
    <t xml:space="preserve">CSE 101</t>
  </si>
  <si>
    <t xml:space="preserve">Algorithms and Abstract Data Types</t>
  </si>
  <si>
    <t xml:space="preserve">Algorithms and abstract data types (quarter): sorting, graph algorithms, dynamic programming, greedy algorithms and asymptotic analysis.</t>
  </si>
  <si>
    <t xml:space="preserve">Design and analyse algorithms.</t>
  </si>
  <si>
    <t xml:space="preserve">ECON 100A</t>
  </si>
  <si>
    <t xml:space="preserve">Intermediate microeconomics (quarter): consumer and producer theory with calculus, market equilibrium.</t>
  </si>
  <si>
    <t xml:space="preserve">Solve optimisation problems; derive demand.</t>
  </si>
  <si>
    <t xml:space="preserve">ECON 100B</t>
  </si>
  <si>
    <t xml:space="preserve">Intermediate macroeconomics (quarter): growth, business cycles and policy models.</t>
  </si>
  <si>
    <t xml:space="preserve">Build macro models.</t>
  </si>
  <si>
    <t xml:space="preserve">ECON 113</t>
  </si>
  <si>
    <t xml:space="preserve">Introduction to Econometrics</t>
  </si>
  <si>
    <t xml:space="preserve">Introduction to econometrics (quarter): regression, inference and applied data analysis.</t>
  </si>
  <si>
    <t xml:space="preserve">Estimate and interpret regressions.</t>
  </si>
  <si>
    <t xml:space="preserve">ECON 136</t>
  </si>
  <si>
    <t xml:space="preserve">Behavioral Economics</t>
  </si>
  <si>
    <t xml:space="preserve">Behavioral economics (quarter): heuristics, biases, time preference, social preferences and field experiments.</t>
  </si>
  <si>
    <t xml:space="preserve">Explain behavioural deviations from rational choice.</t>
  </si>
  <si>
    <t xml:space="preserve">PSYC 1</t>
  </si>
  <si>
    <t xml:space="preserve">Introduction to psychology (quarter): survey of psychological science.</t>
  </si>
  <si>
    <t xml:space="preserve">PSYC 100</t>
  </si>
  <si>
    <t xml:space="preserve">Research Methods in Psychology</t>
  </si>
  <si>
    <t xml:space="preserve">Research methods in psychology (quarter) with lab: experimental design, measurement, ethics, ANOVA and APA writing.</t>
  </si>
  <si>
    <t xml:space="preserve">Design and run an experiment; write an APA report.</t>
  </si>
  <si>
    <t xml:space="preserve">Equivalency ID</t>
  </si>
  <si>
    <t xml:space="preserve">BU course</t>
  </si>
  <si>
    <t xml:space="preserve">Outcome</t>
  </si>
  <si>
    <t xml:space="preserve">BU dept</t>
  </si>
  <si>
    <t xml:space="preserve">Approved date</t>
  </si>
  <si>
    <t xml:space="preserve">Evaluator</t>
  </si>
  <si>
    <t xml:space="preserve">EQ-001</t>
  </si>
  <si>
    <t xml:space="preserve">BU equivalent</t>
  </si>
  <si>
    <t xml:space="preserve">CAS CS</t>
  </si>
  <si>
    <t xml:space="preserve">2023-01-05</t>
  </si>
  <si>
    <t xml:space="preserve">EVAL-10</t>
  </si>
  <si>
    <t xml:space="preserve">EQ-002</t>
  </si>
  <si>
    <t xml:space="preserve">2024-02-06</t>
  </si>
  <si>
    <t xml:space="preserve">EVAL-11</t>
  </si>
  <si>
    <t xml:space="preserve">EQ-003</t>
  </si>
  <si>
    <t xml:space="preserve">2025-03-07</t>
  </si>
  <si>
    <t xml:space="preserve">EVAL-12</t>
  </si>
  <si>
    <t xml:space="preserve">EQ-004</t>
  </si>
  <si>
    <t xml:space="preserve">2023-04-08</t>
  </si>
  <si>
    <t xml:space="preserve">EVAL-13</t>
  </si>
  <si>
    <t xml:space="preserve">EQ-005</t>
  </si>
  <si>
    <t xml:space="preserve">2024-05-09</t>
  </si>
  <si>
    <t xml:space="preserve">EVAL-14</t>
  </si>
  <si>
    <t xml:space="preserve">EQ-006</t>
  </si>
  <si>
    <t xml:space="preserve">2025-06-10</t>
  </si>
  <si>
    <t xml:space="preserve">EVAL-15</t>
  </si>
  <si>
    <t xml:space="preserve">EQ-007</t>
  </si>
  <si>
    <t xml:space="preserve">2023-07-11</t>
  </si>
  <si>
    <t xml:space="preserve">EQ-008</t>
  </si>
  <si>
    <t xml:space="preserve">2024-08-12</t>
  </si>
  <si>
    <t xml:space="preserve">EQ-009</t>
  </si>
  <si>
    <t xml:space="preserve">2025-09-13</t>
  </si>
  <si>
    <t xml:space="preserve">EQ-010</t>
  </si>
  <si>
    <t xml:space="preserve">CAS EC</t>
  </si>
  <si>
    <t xml:space="preserve">2023-10-14</t>
  </si>
  <si>
    <t xml:space="preserve">EQ-011</t>
  </si>
  <si>
    <t xml:space="preserve">2024-11-15</t>
  </si>
  <si>
    <t xml:space="preserve">EQ-012</t>
  </si>
  <si>
    <t xml:space="preserve">2025-12-16</t>
  </si>
  <si>
    <t xml:space="preserve">EQ-013</t>
  </si>
  <si>
    <t xml:space="preserve">2023-01-17</t>
  </si>
  <si>
    <t xml:space="preserve">EQ-014</t>
  </si>
  <si>
    <t xml:space="preserve">2024-02-18</t>
  </si>
  <si>
    <t xml:space="preserve">EQ-015</t>
  </si>
  <si>
    <t xml:space="preserve">2025-03-19</t>
  </si>
  <si>
    <t xml:space="preserve">EQ-016</t>
  </si>
  <si>
    <t xml:space="preserve">2023-04-20</t>
  </si>
  <si>
    <t xml:space="preserve">EQ-017</t>
  </si>
  <si>
    <t xml:space="preserve">2024-05-21</t>
  </si>
  <si>
    <t xml:space="preserve">EQ-018</t>
  </si>
  <si>
    <t xml:space="preserve">2025-06-22</t>
  </si>
  <si>
    <t xml:space="preserve">EQ-019</t>
  </si>
  <si>
    <t xml:space="preserve">2023-07-23</t>
  </si>
  <si>
    <t xml:space="preserve">EQ-020</t>
  </si>
  <si>
    <t xml:space="preserve">CAS PS</t>
  </si>
  <si>
    <t xml:space="preserve">2024-08-24</t>
  </si>
  <si>
    <t xml:space="preserve">EQ-021</t>
  </si>
  <si>
    <t xml:space="preserve">2025-09-05</t>
  </si>
  <si>
    <t xml:space="preserve">EQ-022</t>
  </si>
  <si>
    <t xml:space="preserve">2023-10-06</t>
  </si>
  <si>
    <t xml:space="preserve">EQ-023</t>
  </si>
  <si>
    <t xml:space="preserve">2024-11-07</t>
  </si>
  <si>
    <t xml:space="preserve">EQ-024</t>
  </si>
  <si>
    <t xml:space="preserve">2025-12-08</t>
  </si>
  <si>
    <t xml:space="preserve">EQ-025</t>
  </si>
  <si>
    <t xml:space="preserve">2023-01-09</t>
  </si>
  <si>
    <t xml:space="preserve">EQ-026</t>
  </si>
  <si>
    <t xml:space="preserve">2024-02-10</t>
  </si>
  <si>
    <t xml:space="preserve">EQ-027</t>
  </si>
  <si>
    <t xml:space="preserve">2025-03-11</t>
  </si>
  <si>
    <t xml:space="preserve">EQ-028</t>
  </si>
  <si>
    <t xml:space="preserve">2023-04-12</t>
  </si>
  <si>
    <t xml:space="preserve">EQ-029</t>
  </si>
  <si>
    <t xml:space="preserve">2024-05-13</t>
  </si>
  <si>
    <t xml:space="preserve">EQ-030</t>
  </si>
  <si>
    <t xml:space="preserve">2025-06-14</t>
  </si>
  <si>
    <t xml:space="preserve">EQ-031</t>
  </si>
  <si>
    <t xml:space="preserve">CAS BI</t>
  </si>
  <si>
    <t xml:space="preserve">2023-07-15</t>
  </si>
  <si>
    <t xml:space="preserve">EQ-032</t>
  </si>
  <si>
    <t xml:space="preserve">2024-08-16</t>
  </si>
  <si>
    <t xml:space="preserve">EQ-033</t>
  </si>
  <si>
    <t xml:space="preserve">2025-09-17</t>
  </si>
  <si>
    <t xml:space="preserve">EQ-034</t>
  </si>
  <si>
    <t xml:space="preserve">2023-10-18</t>
  </si>
  <si>
    <t xml:space="preserve">EQ-035</t>
  </si>
  <si>
    <t xml:space="preserve">2024-11-19</t>
  </si>
  <si>
    <t xml:space="preserve">EQ-036</t>
  </si>
  <si>
    <t xml:space="preserve">CAS CH</t>
  </si>
  <si>
    <t xml:space="preserve">2025-12-20</t>
  </si>
  <si>
    <t xml:space="preserve">EQ-037</t>
  </si>
  <si>
    <t xml:space="preserve">2023-01-21</t>
  </si>
  <si>
    <t xml:space="preserve">EQ-038</t>
  </si>
  <si>
    <t xml:space="preserve">2024-02-22</t>
  </si>
  <si>
    <t xml:space="preserve">EQ-039</t>
  </si>
  <si>
    <t xml:space="preserve">2025-03-23</t>
  </si>
  <si>
    <t xml:space="preserve">EQ-040</t>
  </si>
  <si>
    <t xml:space="preserve">2023-04-24</t>
  </si>
  <si>
    <t xml:space="preserve">EQ-041</t>
  </si>
  <si>
    <t xml:space="preserve">2024-05-05</t>
  </si>
  <si>
    <t xml:space="preserve">EQ-042</t>
  </si>
  <si>
    <t xml:space="preserve">CAS MA</t>
  </si>
  <si>
    <t xml:space="preserve">2025-06-06</t>
  </si>
  <si>
    <t xml:space="preserve">EQ-043</t>
  </si>
  <si>
    <t xml:space="preserve">2023-07-07</t>
  </si>
  <si>
    <t xml:space="preserve">EQ-044</t>
  </si>
  <si>
    <t xml:space="preserve">2024-08-08</t>
  </si>
  <si>
    <t xml:space="preserve">EQ-045</t>
  </si>
  <si>
    <t xml:space="preserve">2025-09-09</t>
  </si>
  <si>
    <t xml:space="preserve">EQ-046</t>
  </si>
  <si>
    <t xml:space="preserve">2023-10-10</t>
  </si>
  <si>
    <t xml:space="preserve">EQ-047</t>
  </si>
  <si>
    <t xml:space="preserve">2024-11-11</t>
  </si>
  <si>
    <t xml:space="preserve">EQ-048</t>
  </si>
  <si>
    <t xml:space="preserve">2025-12-12</t>
  </si>
  <si>
    <t xml:space="preserve">EQ-049</t>
  </si>
  <si>
    <t xml:space="preserve">2023-01-13</t>
  </si>
  <si>
    <t xml:space="preserve">EQ-050</t>
  </si>
  <si>
    <t xml:space="preserve">2024-02-14</t>
  </si>
  <si>
    <t xml:space="preserve">EQ-051</t>
  </si>
  <si>
    <t xml:space="preserve">2023-04-16</t>
  </si>
  <si>
    <t xml:space="preserve">EQ-052</t>
  </si>
  <si>
    <t xml:space="preserve">2024-05-17</t>
  </si>
  <si>
    <t xml:space="preserve">EQ-053</t>
  </si>
  <si>
    <t xml:space="preserve">2025-06-18</t>
  </si>
  <si>
    <t xml:space="preserve">EQ-054</t>
  </si>
  <si>
    <t xml:space="preserve">2023-07-19</t>
  </si>
  <si>
    <t xml:space="preserve">EQ-055</t>
  </si>
  <si>
    <t xml:space="preserve">2024-08-20</t>
  </si>
  <si>
    <t xml:space="preserve">EQ-056</t>
  </si>
  <si>
    <t xml:space="preserve">2025-09-21</t>
  </si>
  <si>
    <t xml:space="preserve">EQ-057</t>
  </si>
  <si>
    <t xml:space="preserve">2023-10-22</t>
  </si>
  <si>
    <t xml:space="preserve">EQ-058</t>
  </si>
  <si>
    <t xml:space="preserve">2024-11-23</t>
  </si>
  <si>
    <t xml:space="preserve">EQ-059</t>
  </si>
  <si>
    <t xml:space="preserve">2025-12-24</t>
  </si>
  <si>
    <t xml:space="preserve">EQ-060</t>
  </si>
  <si>
    <t xml:space="preserve">Elective credit</t>
  </si>
  <si>
    <t xml:space="preserve">CAS WR</t>
  </si>
  <si>
    <t xml:space="preserve">EQ-061</t>
  </si>
  <si>
    <t xml:space="preserve">EQ-062</t>
  </si>
  <si>
    <t xml:space="preserve">Decision ID</t>
  </si>
  <si>
    <t xml:space="preserve">Proposed BU</t>
  </si>
  <si>
    <t xml:space="preserve">Decision</t>
  </si>
  <si>
    <t xml:space="preserve">BU awarded</t>
  </si>
  <si>
    <t xml:space="preserve">Reason</t>
  </si>
  <si>
    <t xml:space="preserve">Decided</t>
  </si>
  <si>
    <t xml:space="preserve">Days to decision</t>
  </si>
  <si>
    <t xml:space="preserve">PD-001</t>
  </si>
  <si>
    <t xml:space="preserve">Partial / elective</t>
  </si>
  <si>
    <t xml:space="preserve">CS elective (CAS CS 1XX)</t>
  </si>
  <si>
    <t xml:space="preserve">Covers OOP design but not data structures; full CS 112 credit only if CS 2700 also completed.</t>
  </si>
  <si>
    <t xml:space="preserve">2024-01-03</t>
  </si>
  <si>
    <t xml:space="preserve">PD-002</t>
  </si>
  <si>
    <t xml:space="preserve">CS 2100+CS 2700</t>
  </si>
  <si>
    <t xml:space="preserve">Combined, the two courses cover CS 112 content.</t>
  </si>
  <si>
    <t xml:space="preserve">PD-003</t>
  </si>
  <si>
    <t xml:space="preserve">Awarded as MA 242, which substitutes for CS 132 in the CS major.</t>
  </si>
  <si>
    <t xml:space="preserve">2024-11-17</t>
  </si>
  <si>
    <t xml:space="preserve">PD-004</t>
  </si>
  <si>
    <t xml:space="preserve">Awarded as MA 242; student may use it for CS 132 requirement.</t>
  </si>
  <si>
    <t xml:space="preserve">2025-04-24</t>
  </si>
  <si>
    <t xml:space="preserve">PD-005</t>
  </si>
  <si>
    <t xml:space="preserve">Math elective (CAS MA 1XX)</t>
  </si>
  <si>
    <t xml:space="preserve">Probability coverage too light for MA 581/CS 237; half the course is statistics.</t>
  </si>
  <si>
    <t xml:space="preserve">2024-09-06</t>
  </si>
  <si>
    <t xml:space="preserve">PD-006</t>
  </si>
  <si>
    <t xml:space="preserve">Full probability theory course; counts as MA 581, substitutes for CS 237.</t>
  </si>
  <si>
    <t xml:space="preserve">2025-02-13</t>
  </si>
  <si>
    <t xml:space="preserve">PD-007</t>
  </si>
  <si>
    <t xml:space="preserve">CS elective (CAS CS 3XX)</t>
  </si>
  <si>
    <t xml:space="preserve">Group C course must be taken at BU; elective credit only.</t>
  </si>
  <si>
    <t xml:space="preserve">2024-07-20</t>
  </si>
  <si>
    <t xml:space="preserve">PD-008</t>
  </si>
  <si>
    <t xml:space="preserve">2025-12-27</t>
  </si>
  <si>
    <t xml:space="preserve">PD-009</t>
  </si>
  <si>
    <t xml:space="preserve">PD-010</t>
  </si>
  <si>
    <t xml:space="preserve">Econ elective (CAS EC 3XX)</t>
  </si>
  <si>
    <t xml:space="preserve">Lacks instrumental variables and panel-data methods covered in EC 204.</t>
  </si>
  <si>
    <t xml:space="preserve">2025-10-16</t>
  </si>
  <si>
    <t xml:space="preserve">PD-011</t>
  </si>
  <si>
    <t xml:space="preserve">Syllabus showed IV and diff-in-diff units; approved.</t>
  </si>
  <si>
    <t xml:space="preserve">2024-03-23</t>
  </si>
  <si>
    <t xml:space="preserve">PD-012</t>
  </si>
  <si>
    <t xml:space="preserve">Psych elective (CAS PS 2XX)</t>
  </si>
  <si>
    <t xml:space="preserve">Statistics only; no experiment design or lab component.</t>
  </si>
  <si>
    <t xml:space="preserve">2025-08-05</t>
  </si>
  <si>
    <t xml:space="preserve">PD-013</t>
  </si>
  <si>
    <t xml:space="preserve">Statistics only; no lab.</t>
  </si>
  <si>
    <t xml:space="preserve">2024-01-12</t>
  </si>
  <si>
    <t xml:space="preserve">PD-014</t>
  </si>
  <si>
    <t xml:space="preserve">Includes design and lab report; approved.</t>
  </si>
  <si>
    <t xml:space="preserve">2025-06-19</t>
  </si>
  <si>
    <t xml:space="preserve">PD-015</t>
  </si>
  <si>
    <t xml:space="preserve">Cognitive neuroscience focus; insufficient physiological content.</t>
  </si>
  <si>
    <t xml:space="preserve">2024-11-26</t>
  </si>
  <si>
    <t xml:space="preserve">PD-016</t>
  </si>
  <si>
    <t xml:space="preserve">Cell biology content sufficient.</t>
  </si>
  <si>
    <t xml:space="preserve">2025-04-08</t>
  </si>
  <si>
    <t xml:space="preserve">PD-017</t>
  </si>
  <si>
    <t xml:space="preserve">Genetics content sufficient; lab included.</t>
  </si>
  <si>
    <t xml:space="preserve">2024-09-15</t>
  </si>
  <si>
    <t xml:space="preserve">PD-018</t>
  </si>
  <si>
    <t xml:space="preserve">Awarded CH 101 only; CH 102 content (electrochemistry, thermodynamics) incomplete.</t>
  </si>
  <si>
    <t xml:space="preserve">2025-02-22</t>
  </si>
  <si>
    <t xml:space="preserve">PD-019</t>
  </si>
  <si>
    <t xml:space="preserve">ODE content sufficient.</t>
  </si>
  <si>
    <t xml:space="preserve">2024-07-04</t>
  </si>
  <si>
    <t xml:space="preserve">PD-020</t>
  </si>
  <si>
    <t xml:space="preserve">Proof course without combinatorics or graph theory.</t>
  </si>
  <si>
    <t xml:space="preserve">2025-12-11</t>
  </si>
  <si>
    <t xml:space="preserve">PD-021</t>
  </si>
  <si>
    <t xml:space="preserve">Combined prob/stats; not equivalent to MA 581.</t>
  </si>
  <si>
    <t xml:space="preserve">2024-05-18</t>
  </si>
  <si>
    <t xml:space="preserve">PD-022</t>
  </si>
  <si>
    <t xml:space="preserve">—</t>
  </si>
  <si>
    <t xml:space="preserve">No BU core equivalent; counts as psychology elective.</t>
  </si>
  <si>
    <t xml:space="preserve">2025-10-25</t>
  </si>
  <si>
    <t xml:space="preserve">PD-023</t>
  </si>
  <si>
    <t xml:space="preserve">CS elective (CAS CS 2XX)</t>
  </si>
  <si>
    <t xml:space="preserve">No direct equivalent.</t>
  </si>
  <si>
    <t xml:space="preserve">2024-03-07</t>
  </si>
  <si>
    <t xml:space="preserve">PD-024</t>
  </si>
  <si>
    <t xml:space="preserve">2025-08-14</t>
  </si>
  <si>
    <t xml:space="preserve">PD-025</t>
  </si>
  <si>
    <t xml:space="preserve">Bio elective (CAS BI 1XX)</t>
  </si>
  <si>
    <t xml:space="preserve">2024-01-21</t>
  </si>
  <si>
    <t xml:space="preserve">PD-026</t>
  </si>
  <si>
    <t xml:space="preserve">Proof and probability coverage too light for CS 131.</t>
  </si>
  <si>
    <t xml:space="preserve">2025-06-03</t>
  </si>
  <si>
    <t xml:space="preserve">PD-027</t>
  </si>
  <si>
    <t xml:space="preserve">Non-calculus statistics; not accepted for EC 203.</t>
  </si>
  <si>
    <t xml:space="preserve">2024-11-10</t>
  </si>
  <si>
    <t xml:space="preserve">PD-028</t>
  </si>
  <si>
    <t xml:space="preserve">No credit</t>
  </si>
  <si>
    <t xml:space="preserve">Activity course; not transferable for academic credit.</t>
  </si>
  <si>
    <t xml:space="preserve">2025-04-17</t>
  </si>
  <si>
    <t xml:space="preserve">PD-029</t>
  </si>
  <si>
    <t xml:space="preserve">Approved; quarter units converted at 2/3.</t>
  </si>
  <si>
    <t xml:space="preserve">2024-09-24</t>
  </si>
  <si>
    <t xml:space="preserve">PD-030</t>
  </si>
  <si>
    <t xml:space="preserve">No BU core equivalent.</t>
  </si>
  <si>
    <t xml:space="preserve">2025-02-06</t>
  </si>
  <si>
    <t xml:space="preserve">PD-031</t>
  </si>
  <si>
    <t xml:space="preserve">CAS CH 101 + CAS CH 102</t>
  </si>
  <si>
    <t xml:space="preserve">Accelerated course judged to cover both semesters of general chemistry.</t>
  </si>
  <si>
    <t xml:space="preserve">2025-11-04</t>
  </si>
  <si>
    <t xml:space="preserve">PD-032</t>
  </si>
  <si>
    <t xml:space="preserve">Applied project judged equivalent to EC 204 research component.</t>
  </si>
  <si>
    <t xml:space="preserve">2025-10-15</t>
  </si>
  <si>
    <t xml:space="preserve">PD-033</t>
  </si>
  <si>
    <t xml:space="preserve">Proof techniques accepted as discrete mathematics.</t>
  </si>
  <si>
    <t xml:space="preserve">2025-12-01</t>
  </si>
  <si>
    <t xml:space="preserve">Student ID</t>
  </si>
  <si>
    <t xml:space="preserve">Name</t>
  </si>
  <si>
    <t xml:space="preserve">Intended major</t>
  </si>
  <si>
    <t xml:space="preserve">BU start term</t>
  </si>
  <si>
    <t xml:space="preserve">BU start date</t>
  </si>
  <si>
    <t xml:space="preserve">Prior institutions</t>
  </si>
  <si>
    <t xml:space="preserve">Scenario</t>
  </si>
  <si>
    <t xml:space="preserve">STU-001</t>
  </si>
  <si>
    <t xml:space="preserve">Maya Ortiz (synthetic)</t>
  </si>
  <si>
    <t xml:space="preserve">Fall 2026</t>
  </si>
  <si>
    <t xml:space="preserve">2026-09-02</t>
  </si>
  <si>
    <t xml:space="preserve">Riverside Community College; Pacific Coast State University</t>
  </si>
  <si>
    <t xml:space="preserve">Hackathon demo scenario: 6 courses — 3 existing equivalencies, 2 "maybe", 1 quarter-system</t>
  </si>
  <si>
    <t xml:space="preserve">STU-002</t>
  </si>
  <si>
    <t xml:space="preserve">Daniel Kim (synthetic)</t>
  </si>
  <si>
    <t xml:space="preserve">5-credit courses, split course (CS 2100+CS 2700), Group C BU-only course, grade below C</t>
  </si>
  <si>
    <t xml:space="preserve">STU-003</t>
  </si>
  <si>
    <t xml:space="preserve">Priya Shah (synthetic)</t>
  </si>
  <si>
    <t xml:space="preserve">Spring 2026</t>
  </si>
  <si>
    <t xml:space="preserve">2026-01-20</t>
  </si>
  <si>
    <t xml:space="preserve">Mostly direct matches, stats-vs-design "maybe", one D grade, start date near the one-year deadline</t>
  </si>
  <si>
    <t xml:space="preserve">STU-004</t>
  </si>
  <si>
    <t xml:space="preserve">Jordan Lee (synthetic)</t>
  </si>
  <si>
    <t xml:space="preserve">Pacific Coast State University; Riverside Community College</t>
  </si>
  <si>
    <t xml:space="preserve">Mostly quarter-system, econ 200+ level cap (max 4), non-transferable activity course</t>
  </si>
  <si>
    <t xml:space="preserve">STU-005</t>
  </si>
  <si>
    <t xml:space="preserve">Alex Rivera (synthetic)</t>
  </si>
  <si>
    <t xml:space="preserve">Riverside Community College; Northeastern University; Pacific Coast State University</t>
  </si>
  <si>
    <t xml:space="preserve">Rules showcase: one student whose transcripts trigger every course rule except Biology residency (W, C-, quarter, Group C, substitution, no Hub units, Economics cap) plus the one-year deadline</t>
  </si>
  <si>
    <t xml:space="preserve">STU-006</t>
  </si>
  <si>
    <t xml:space="preserve">Leah Chen (synthetic)</t>
  </si>
  <si>
    <t xml:space="preserve">Biology residency: upper-level BI courses transfer, but 5 BI courses beyond BI 107/108 must still be taken at BU</t>
  </si>
  <si>
    <t xml:space="preserve">STU-007</t>
  </si>
  <si>
    <t xml:space="preserve">Ethan Brooks (synthetic)</t>
  </si>
  <si>
    <t xml:space="preserve">Test case TC-01: fully successful transfer. Every course is an approved worksheet equivalency.</t>
  </si>
  <si>
    <t xml:space="preserve">STU-008</t>
  </si>
  <si>
    <t xml:space="preserve">Sofia Martinez (synthetic)</t>
  </si>
  <si>
    <t xml:space="preserve">Test case TC-04: partial credit. Accelerated 5-credit chemistry course only partly matches the BU 2-course sequence.</t>
  </si>
  <si>
    <t xml:space="preserve">STU-009</t>
  </si>
  <si>
    <t xml:space="preserve">Omar Haddad (synthetic)</t>
  </si>
  <si>
    <t xml:space="preserve">Test case TC-05: missing information. One course has no description or syllabus, so the evaluator requests it.</t>
  </si>
  <si>
    <t xml:space="preserve">STU-010</t>
  </si>
  <si>
    <t xml:space="preserve">Grace Liu (synthetic)</t>
  </si>
  <si>
    <t xml:space="preserve">Test case TC-06: evaluator override. The system recommends EC 204; the evaluator awards elective credit instead.</t>
  </si>
  <si>
    <t xml:space="preserve">STU-011</t>
  </si>
  <si>
    <t xml:space="preserve">Noah Patel (synthetic)</t>
  </si>
  <si>
    <t xml:space="preserve">Spring 2027</t>
  </si>
  <si>
    <t xml:space="preserve">2027-01-19</t>
  </si>
  <si>
    <t xml:space="preserve">Live intake demo: paper transcript arrives by mail, is scanned, and the agent reads it in front of the evaluator.</t>
  </si>
  <si>
    <t xml:space="preserve">Row ID</t>
  </si>
  <si>
    <t xml:space="preserve">Term</t>
  </si>
  <si>
    <t xml:space="preserve">Source credits</t>
  </si>
  <si>
    <t xml:space="preserve">Grade</t>
  </si>
  <si>
    <t xml:space="preserve">Grade meets C min?</t>
  </si>
  <si>
    <t xml:space="preserve">BU credits (if accepted)</t>
  </si>
  <si>
    <t xml:space="preserve">In equivalency DB?</t>
  </si>
  <si>
    <t xml:space="preserve">Expected path</t>
  </si>
  <si>
    <t xml:space="preserve">Expected BU outcome</t>
  </si>
  <si>
    <t xml:space="preserve">Explanation</t>
  </si>
  <si>
    <t xml:space="preserve">TR-001</t>
  </si>
  <si>
    <t xml:space="preserve">Fall 2024</t>
  </si>
  <si>
    <t xml:space="preserve">A</t>
  </si>
  <si>
    <t xml:space="preserve">Existing equivalency</t>
  </si>
  <si>
    <t xml:space="preserve">Auto-apply from equivalency DB.</t>
  </si>
  <si>
    <t xml:space="preserve">TR-002</t>
  </si>
  <si>
    <t xml:space="preserve">B+</t>
  </si>
  <si>
    <t xml:space="preserve">TR-003</t>
  </si>
  <si>
    <t xml:space="preserve">Spring 2025</t>
  </si>
  <si>
    <t xml:space="preserve">A-</t>
  </si>
  <si>
    <t xml:space="preserve">TR-004</t>
  </si>
  <si>
    <t xml:space="preserve">B</t>
  </si>
  <si>
    <t xml:space="preserve">No</t>
  </si>
  <si>
    <t xml:space="preserve">Maybe → dept review</t>
  </si>
  <si>
    <t xml:space="preserve">CAS CS 112 (suggested)</t>
  </si>
  <si>
    <t xml:space="preserve">No DB entry; description closely matches CS 112 (Java data structures). Evaluator decides.</t>
  </si>
  <si>
    <t xml:space="preserve">TR-005</t>
  </si>
  <si>
    <t xml:space="preserve">Fall 2025</t>
  </si>
  <si>
    <t xml:space="preserve">CAS PS 211 (suggested)</t>
  </si>
  <si>
    <t xml:space="preserve">No DB entry; includes design + lab like PS 211, but introductory level. Evaluator decides.</t>
  </si>
  <si>
    <t xml:space="preserve">TR-006</t>
  </si>
  <si>
    <t xml:space="preserve">Summer 2025</t>
  </si>
  <si>
    <t xml:space="preserve">Maybe → dept review (quarter)</t>
  </si>
  <si>
    <t xml:space="preserve">CAS MA 242 (suggested)</t>
  </si>
  <si>
    <t xml:space="preserve">Quarter course: 4 units × 2/3 = 2.66 BU credits. Content matches MA 242; may count for CS 132 via substitution.</t>
  </si>
  <si>
    <t xml:space="preserve">TR-007</t>
  </si>
  <si>
    <t xml:space="preserve">TR-008</t>
  </si>
  <si>
    <t xml:space="preserve">TR-009</t>
  </si>
  <si>
    <t xml:space="preserve">CAS CS 112 (with CS 2700)</t>
  </si>
  <si>
    <t xml:space="preserve">Past decision PD-002: CS 2100 + CS 2700 together = CS 112.</t>
  </si>
  <si>
    <t xml:space="preserve">TR-010</t>
  </si>
  <si>
    <t xml:space="preserve">CAS CS 112 (with CS 2100)</t>
  </si>
  <si>
    <t xml:space="preserve">Paired with CS 2100.</t>
  </si>
  <si>
    <t xml:space="preserve">TR-011</t>
  </si>
  <si>
    <t xml:space="preserve">Rule: BU-only course</t>
  </si>
  <si>
    <t xml:space="preserve">CS 332 is Group C (must be taken at BU); elective credit only — see PD-008.</t>
  </si>
  <si>
    <t xml:space="preserve">TR-012</t>
  </si>
  <si>
    <t xml:space="preserve">C-</t>
  </si>
  <si>
    <t xml:space="preserve">Rule: grade below C</t>
  </si>
  <si>
    <t xml:space="preserve">Grade C- is below the C minimum.</t>
  </si>
  <si>
    <t xml:space="preserve">TR-013</t>
  </si>
  <si>
    <t xml:space="preserve">TR-014</t>
  </si>
  <si>
    <t xml:space="preserve">Elective (past decision)</t>
  </si>
  <si>
    <t xml:space="preserve">PD-023.</t>
  </si>
  <si>
    <t xml:space="preserve">TR-015</t>
  </si>
  <si>
    <t xml:space="preserve">TR-016</t>
  </si>
  <si>
    <t xml:space="preserve">Psych elective (CAS PS 2XX) likely</t>
  </si>
  <si>
    <t xml:space="preserve">Past decision PD-013: statistics only, no lab.</t>
  </si>
  <si>
    <t xml:space="preserve">TR-017</t>
  </si>
  <si>
    <t xml:space="preserve">Past decision PD-015.</t>
  </si>
  <si>
    <t xml:space="preserve">TR-018</t>
  </si>
  <si>
    <t xml:space="preserve">TR-019</t>
  </si>
  <si>
    <t xml:space="preserve">C</t>
  </si>
  <si>
    <t xml:space="preserve">Grade C meets the minimum.</t>
  </si>
  <si>
    <t xml:space="preserve">TR-020</t>
  </si>
  <si>
    <t xml:space="preserve">D</t>
  </si>
  <si>
    <t xml:space="preserve">Grade D.</t>
  </si>
  <si>
    <t xml:space="preserve">TR-021</t>
  </si>
  <si>
    <t xml:space="preserve">TR-022</t>
  </si>
  <si>
    <t xml:space="preserve">Existing equivalency (quarter)</t>
  </si>
  <si>
    <t xml:space="preserve">5 quarter units → 3.33 BU credits.</t>
  </si>
  <si>
    <t xml:space="preserve">TR-023</t>
  </si>
  <si>
    <t xml:space="preserve">5 → 3.33.</t>
  </si>
  <si>
    <t xml:space="preserve">TR-024</t>
  </si>
  <si>
    <t xml:space="preserve">Winter 2025</t>
  </si>
  <si>
    <t xml:space="preserve">CAS EC 201 (suggested)</t>
  </si>
  <si>
    <t xml:space="preserve">200+ level econ #1 of max 4.</t>
  </si>
  <si>
    <t xml:space="preserve">TR-025</t>
  </si>
  <si>
    <t xml:space="preserve">CAS EC 202 (suggested)</t>
  </si>
  <si>
    <t xml:space="preserve">200+ level econ #2.</t>
  </si>
  <si>
    <t xml:space="preserve">TR-026</t>
  </si>
  <si>
    <t xml:space="preserve">CAS EC 204 (suggested)</t>
  </si>
  <si>
    <t xml:space="preserve">200+ level econ #3. Check IV/panel coverage (see PD-010/011).</t>
  </si>
  <si>
    <t xml:space="preserve">TR-027</t>
  </si>
  <si>
    <t xml:space="preserve">Winter 2026</t>
  </si>
  <si>
    <t xml:space="preserve">200+ level econ #4 — reaches the cap. Any further 200+ econ course would not count.</t>
  </si>
  <si>
    <t xml:space="preserve">TR-028</t>
  </si>
  <si>
    <t xml:space="preserve">CAS CS 330 (suggested)</t>
  </si>
  <si>
    <t xml:space="preserve">Non-major course; counts toward degree units.</t>
  </si>
  <si>
    <t xml:space="preserve">TR-029</t>
  </si>
  <si>
    <t xml:space="preserve">Summer 2024</t>
  </si>
  <si>
    <t xml:space="preserve">TR-030</t>
  </si>
  <si>
    <t xml:space="preserve">No credit (past decision)</t>
  </si>
  <si>
    <t xml:space="preserve">PD-028: activity course.</t>
  </si>
  <si>
    <t xml:space="preserve">TR-031</t>
  </si>
  <si>
    <t xml:space="preserve">Spring 2024</t>
  </si>
  <si>
    <t xml:space="preserve">R3: counts as 3 elective credits but earns no BU Hub units (Writing).</t>
  </si>
  <si>
    <t xml:space="preserve">TR-032</t>
  </si>
  <si>
    <t xml:space="preserve">W</t>
  </si>
  <si>
    <t xml:space="preserve">Rule: withdrawn</t>
  </si>
  <si>
    <t xml:space="preserve">Skipped</t>
  </si>
  <si>
    <t xml:space="preserve">W: withdrew, 0 credits earned. Dropped while reading the transcript.</t>
  </si>
  <si>
    <t xml:space="preserve">TR-033</t>
  </si>
  <si>
    <t xml:space="preserve">R1: C- is below the C minimum, even though an equivalency exists (CS 131).</t>
  </si>
  <si>
    <t xml:space="preserve">TR-034</t>
  </si>
  <si>
    <t xml:space="preserve">Maybe → dept review (precedent, quarter)</t>
  </si>
  <si>
    <t xml:space="preserve">R2: 5 quarter units → 3.33 BU credits. Precedent PD-029.</t>
  </si>
  <si>
    <t xml:space="preserve">TR-035</t>
  </si>
  <si>
    <t xml:space="preserve">R9: MA 242 also counts toward CS 132 (Group B).</t>
  </si>
  <si>
    <t xml:space="preserve">TR-036</t>
  </si>
  <si>
    <t xml:space="preserve">R6: CS 332 is Group C; elective credit only.</t>
  </si>
  <si>
    <t xml:space="preserve">TR-037</t>
  </si>
  <si>
    <t xml:space="preserve">R7: upper-level Economics course 1 of 4.</t>
  </si>
  <si>
    <t xml:space="preserve">TR-038</t>
  </si>
  <si>
    <t xml:space="preserve">R7: course 2 of 4.</t>
  </si>
  <si>
    <t xml:space="preserve">TR-039</t>
  </si>
  <si>
    <t xml:space="preserve">R7: course 3 of 4.</t>
  </si>
  <si>
    <t xml:space="preserve">TR-040</t>
  </si>
  <si>
    <t xml:space="preserve">R7: course 4 of 4. R2: 5 quarter units → 3.33.</t>
  </si>
  <si>
    <t xml:space="preserve">TR-041</t>
  </si>
  <si>
    <t xml:space="preserve">Rule: Econ cap</t>
  </si>
  <si>
    <t xml:space="preserve">R7: 5th upper-level Economics course, over the cap of 4.</t>
  </si>
  <si>
    <t xml:space="preserve">TR-042</t>
  </si>
  <si>
    <t xml:space="preserve">TR-043</t>
  </si>
  <si>
    <t xml:space="preserve">TR-044</t>
  </si>
  <si>
    <t xml:space="preserve">Maybe → dept review (precedent)</t>
  </si>
  <si>
    <t xml:space="preserve">R8: counts toward the major; residency still requires 5 upper-level BI courses at BU. Precedent PD-016.</t>
  </si>
  <si>
    <t xml:space="preserve">TR-045</t>
  </si>
  <si>
    <t xml:space="preserve">R8: as above.</t>
  </si>
  <si>
    <t xml:space="preserve">TR-046</t>
  </si>
  <si>
    <t xml:space="preserve">TR-047</t>
  </si>
  <si>
    <t xml:space="preserve">C+</t>
  </si>
  <si>
    <t xml:space="preserve">R1: C+ passes.</t>
  </si>
  <si>
    <t xml:space="preserve">TR-048</t>
  </si>
  <si>
    <t xml:space="preserve">TR-049</t>
  </si>
  <si>
    <t xml:space="preserve">TR-050</t>
  </si>
  <si>
    <t xml:space="preserve">TR-051</t>
  </si>
  <si>
    <t xml:space="preserve">Upper-level Economics 1 of 4.</t>
  </si>
  <si>
    <t xml:space="preserve">TR-052</t>
  </si>
  <si>
    <t xml:space="preserve">Upper-level Economics 2 of 4.</t>
  </si>
  <si>
    <t xml:space="preserve">TR-053</t>
  </si>
  <si>
    <t xml:space="preserve">Upper-level Economics 3 of 4.</t>
  </si>
  <si>
    <t xml:space="preserve">TR-054</t>
  </si>
  <si>
    <t xml:space="preserve">TR-055</t>
  </si>
  <si>
    <t xml:space="preserve">TR-056</t>
  </si>
  <si>
    <t xml:space="preserve">TR-057</t>
  </si>
  <si>
    <t xml:space="preserve">Maybe → partial credit</t>
  </si>
  <si>
    <t xml:space="preserve">CAS CH 101 (partial)</t>
  </si>
  <si>
    <t xml:space="preserve">Partial credit: 5 SH accelerated course covers CH 101 and only part of CH 102.</t>
  </si>
  <si>
    <t xml:space="preserve">TR-058</t>
  </si>
  <si>
    <t xml:space="preserve">TR-059</t>
  </si>
  <si>
    <t xml:space="preserve">Precedent PD-017.</t>
  </si>
  <si>
    <t xml:space="preserve">TR-060</t>
  </si>
  <si>
    <t xml:space="preserve">TR-061</t>
  </si>
  <si>
    <t xml:space="preserve">TR-062</t>
  </si>
  <si>
    <t xml:space="preserve">TR-063</t>
  </si>
  <si>
    <t xml:space="preserve">TR-064</t>
  </si>
  <si>
    <t xml:space="preserve">TR-065</t>
  </si>
  <si>
    <t xml:space="preserve">Maybe → needs information</t>
  </si>
  <si>
    <t xml:space="preserve">No description or syllabus on file; evaluator requests the syllabus.</t>
  </si>
  <si>
    <t xml:space="preserve">TR-066</t>
  </si>
  <si>
    <t xml:space="preserve">TR-067</t>
  </si>
  <si>
    <t xml:space="preserve">TR-068</t>
  </si>
  <si>
    <t xml:space="preserve">TR-069</t>
  </si>
  <si>
    <t xml:space="preserve">TR-070</t>
  </si>
  <si>
    <t xml:space="preserve">Maybe → evaluator override</t>
  </si>
  <si>
    <t xml:space="preserve">System follows latest precedent (EC 204); evaluator overrides to elective.</t>
  </si>
  <si>
    <t xml:space="preserve">TR-071</t>
  </si>
  <si>
    <t xml:space="preserve">Live intake demo</t>
  </si>
  <si>
    <t xml:space="preserve">TR-072</t>
  </si>
  <si>
    <t xml:space="preserve">TR-073</t>
  </si>
  <si>
    <t xml:space="preserve">TR-074</t>
  </si>
  <si>
    <t xml:space="preserve">TR-075</t>
  </si>
  <si>
    <t xml:space="preserve">TR-076</t>
  </si>
  <si>
    <t xml:space="preserve">Blue cells are inputs. Columns J–K are formulas: C-or-higher check, and quarter credits × 2/3 truncated to 2 decimals (BU example: 4 → 2.66).</t>
  </si>
  <si>
    <t xml:space="preserve">Syllabus (synthetic)</t>
  </si>
  <si>
    <t xml:space="preserve">Week 1-2 Java review, classes and interfaces. Week 3-4 Linked lists and iterators. Week 5 Stacks and queues. Week 6 Recursion. Week 7 Midterm. Week 8-9 Binary search trees. Week 10 Hash tables. Week 11 Heaps and priority queues. Week 12-13 Sorting (insertion, merge, quick) and searching. Week 14 Big-O analysis. Week 15 Final project. Assessment: 6 programming assignments 40%, midterm 25%, final 35%. Contact hours: 3 lecture + 2 lab per week. Textbook: Data Structures and Abstractions with Java.</t>
  </si>
  <si>
    <t xml:space="preserve">Week 1 Science and psychology. Week 2 Ethics and IRB. Week 3 Measurement, reliability and validity. Week 4 Survey and correlational designs. Week 5-6 Experimental designs, control and confounds. Week 7 Midterm. Week 8 Descriptive statistics. Week 9 t-tests. Week 10 Intro to ANOVA (one-way only). Week 11-13 Class lab experiment: design, data collection, analysis. Week 14 APA-style writing. Week 15 Final paper. Assessment: lab report 35%, exams 40%, homework 25%. Contact hours: 3 lecture + 1 lab per week.</t>
  </si>
  <si>
    <t xml:space="preserve">10-week quarter. Wk 1 Linear systems and row reduction. Wk 2 Matrix algebra. Wk 3 Inverses and LU. Wk 4 Determinants. Wk 5 Midterm; vector spaces. Wk 6 Subspaces, basis, dimension. Wk 7 Linear transformations. Wk 8 Eigenvalues and eigenvectors. Wk 9 Diagonalisation, orthogonality. Wk 10 Least squares, review. Assessment: weekly homework 20%, midterm 30%, final 50%. Contact: 4 lecture hours/week.</t>
  </si>
  <si>
    <t xml:space="preserve">OOP in Java: classes, interfaces, inheritance, polymorphism, generics, unit testing, abstraction, simple design patterns. Lab weekly. Data structures (trees, hashing, heaps) are deferred to CS 2700.</t>
  </si>
  <si>
    <t xml:space="preserve">Descriptive statistics, probability, sampling distributions, z and t tests, one- and two-way ANOVA, correlation and regression, nonparametric tests. Problem sets in R. No lab and no research project.</t>
  </si>
  <si>
    <t xml:space="preserve">Wk 1-2 Review of probability and statistics. Wk 3-5 Simple and multiple OLS regression. Wk 6 Midterm. Wk 7 Heteroskedasticity and specification. Wk 8 Binary dependent variables. Wk 9 Instrumental variables (introduction). Wk 10 Applied project presentations. Software: Stata.</t>
  </si>
  <si>
    <t xml:space="preserve">Rule ID</t>
  </si>
  <si>
    <t xml:space="preserve">Rule</t>
  </si>
  <si>
    <t xml:space="preserve">Detail</t>
  </si>
  <si>
    <t xml:space="preserve">Applies to</t>
  </si>
  <si>
    <t xml:space="preserve">Source</t>
  </si>
  <si>
    <t xml:space="preserve">R1</t>
  </si>
  <si>
    <t xml:space="preserve">Grade minimum</t>
  </si>
  <si>
    <t xml:space="preserve">Course must have grade C or higher (C- and below → no credit).</t>
  </si>
  <si>
    <t xml:space="preserve">All</t>
  </si>
  <si>
    <t xml:space="preserve">Problem brief</t>
  </si>
  <si>
    <t xml:space="preserve">R2</t>
  </si>
  <si>
    <t xml:space="preserve">Quarter conversion</t>
  </si>
  <si>
    <t xml:space="preserve">Quarter credits × 2/3 = BU semester credits (4 → 2.66).</t>
  </si>
  <si>
    <t xml:space="preserve">R3</t>
  </si>
  <si>
    <t xml:space="preserve">No Hub units</t>
  </si>
  <si>
    <t xml:space="preserve">Transfer courses do not earn BU Hub general-education units.</t>
  </si>
  <si>
    <t xml:space="preserve">R4</t>
  </si>
  <si>
    <t xml:space="preserve">Deadline</t>
  </si>
  <si>
    <t xml:space="preserve">All credits must be transferred within one year of starting at BU.</t>
  </si>
  <si>
    <t xml:space="preserve">R5</t>
  </si>
  <si>
    <t xml:space="preserve">External GPA</t>
  </si>
  <si>
    <t xml:space="preserve">External grades do not count toward the BU GPA.</t>
  </si>
  <si>
    <t xml:space="preserve">R6</t>
  </si>
  <si>
    <t xml:space="preserve">Group C BU-only</t>
  </si>
  <si>
    <t xml:space="preserve">CAS CS 320, 332, 350 cannot be transferred; elective credit at most.</t>
  </si>
  <si>
    <t xml:space="preserve">Programs sheet</t>
  </si>
  <si>
    <t xml:space="preserve">R7</t>
  </si>
  <si>
    <t xml:space="preserve">Econ 200+ cap</t>
  </si>
  <si>
    <t xml:space="preserve">Max 4 Economics courses at 200+ level transferred after matriculation.</t>
  </si>
  <si>
    <t xml:space="preserve">R8</t>
  </si>
  <si>
    <t xml:space="preserve">Biology residency</t>
  </si>
  <si>
    <t xml:space="preserve">At least 5 BI courses beyond BI 107/108 must be taken at BU.</t>
  </si>
  <si>
    <t xml:space="preserve">R9</t>
  </si>
  <si>
    <t xml:space="preserve">Substitutions</t>
  </si>
  <si>
    <t xml:space="preserve">MA 242 may substitute for CS 132; MA 294 for CS 235; MA 581 for CS 237; MA 115/MA 213/QM 221 for EC 203.</t>
  </si>
  <si>
    <t xml:space="preserve">CS / Economics</t>
  </si>
  <si>
    <t xml:space="preserve">BU Courses sheet</t>
  </si>
  <si>
    <t xml:space="preserve">R10</t>
  </si>
  <si>
    <t xml:space="preserve">Final decision</t>
  </si>
  <si>
    <t xml:space="preserve">Academic department evaluators make the final decision; the tool only suggests.</t>
  </si>
  <si>
    <t xml:space="preserve">R11</t>
  </si>
  <si>
    <t xml:space="preserve">Pending display</t>
  </si>
  <si>
    <t xml:space="preserve">Pending credit shows as 0 units in MyBU Student until evaluated.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</si>
</sst>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  <c r="B2" s="4"/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23.2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/>
      <c r="B5" s="4"/>
    </row>
    <row r="6" customFormat="false" ht="15" hidden="false" customHeight="true" outlineLevel="0" collapsed="false">
      <c r="A6" s="3" t="s">
        <v>5</v>
      </c>
      <c r="B6" s="4"/>
    </row>
    <row r="7" customFormat="false" ht="23.25" hidden="false" customHeight="true" outlineLevel="0" collapsed="false">
      <c r="A7" s="3" t="s">
        <v>6</v>
      </c>
      <c r="B7" s="4" t="s">
        <v>7</v>
      </c>
    </row>
    <row r="8" customFormat="false" ht="23.25" hidden="false" customHeight="true" outlineLevel="0" collapsed="false">
      <c r="A8" s="3" t="s">
        <v>8</v>
      </c>
      <c r="B8" s="4" t="s">
        <v>9</v>
      </c>
    </row>
    <row r="9" customFormat="false" ht="23.25" hidden="false" customHeight="true" outlineLevel="0" collapsed="false">
      <c r="A9" s="3" t="s">
        <v>10</v>
      </c>
      <c r="B9" s="4" t="s">
        <v>11</v>
      </c>
    </row>
    <row r="10" customFormat="false" ht="15" hidden="false" customHeight="true" outlineLevel="0" collapsed="false">
      <c r="A10" s="3" t="s">
        <v>12</v>
      </c>
      <c r="B10" s="4" t="s">
        <v>13</v>
      </c>
    </row>
    <row r="11" customFormat="false" ht="15" hidden="false" customHeight="true" outlineLevel="0" collapsed="false">
      <c r="A11" s="3" t="s">
        <v>14</v>
      </c>
      <c r="B11" s="4" t="s">
        <v>15</v>
      </c>
    </row>
    <row r="12" customFormat="false" ht="15" hidden="false" customHeight="true" outlineLevel="0" collapsed="false">
      <c r="A12" s="3" t="s">
        <v>16</v>
      </c>
      <c r="B12" s="4" t="s">
        <v>17</v>
      </c>
    </row>
    <row r="13" customFormat="false" ht="15" hidden="false" customHeight="true" outlineLevel="0" collapsed="false">
      <c r="A13" s="3" t="s">
        <v>18</v>
      </c>
      <c r="B13" s="4" t="s">
        <v>19</v>
      </c>
    </row>
    <row r="14" customFormat="false" ht="15" hidden="false" customHeight="true" outlineLevel="0" collapsed="false">
      <c r="A14" s="3"/>
      <c r="B14" s="4"/>
    </row>
    <row r="15" customFormat="false" ht="34.5" hidden="false" customHeight="true" outlineLevel="0" collapsed="false">
      <c r="A15" s="3" t="s">
        <v>20</v>
      </c>
      <c r="B15" s="4" t="s">
        <v>21</v>
      </c>
    </row>
    <row r="16" customFormat="false" ht="23.25" hidden="false" customHeight="true" outlineLevel="0" collapsed="false">
      <c r="A16" s="3" t="s">
        <v>22</v>
      </c>
      <c r="B16" s="4" t="s">
        <v>23</v>
      </c>
    </row>
    <row r="17" customFormat="false" ht="15" hidden="false" customHeight="true" outlineLevel="0" collapsed="false">
      <c r="A17" s="3" t="s">
        <v>24</v>
      </c>
      <c r="B17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70"/>
    <col collapsed="false" customWidth="true" hidden="false" outlineLevel="0" max="9" min="9" style="1" width="55"/>
    <col collapsed="false" customWidth="true" hidden="false" outlineLevel="0" max="10" min="10" style="1" width="9"/>
  </cols>
  <sheetData>
    <row r="1" customFormat="false" ht="26.2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customFormat="false" ht="34.5" hidden="false" customHeight="true" outlineLevel="0" collapsed="false">
      <c r="A2" s="4" t="s">
        <v>36</v>
      </c>
      <c r="B2" s="4" t="s">
        <v>37</v>
      </c>
      <c r="C2" s="4" t="s">
        <v>38</v>
      </c>
      <c r="D2" s="4" t="s">
        <v>39</v>
      </c>
      <c r="E2" s="4" t="n">
        <v>4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customFormat="false" ht="34.5" hidden="false" customHeight="true" outlineLevel="0" collapsed="false">
      <c r="A3" s="4" t="s">
        <v>36</v>
      </c>
      <c r="B3" s="4" t="s">
        <v>45</v>
      </c>
      <c r="C3" s="4" t="s">
        <v>46</v>
      </c>
      <c r="D3" s="4" t="s">
        <v>39</v>
      </c>
      <c r="E3" s="4" t="n">
        <v>4</v>
      </c>
      <c r="F3" s="4" t="s">
        <v>40</v>
      </c>
      <c r="G3" s="4" t="s">
        <v>41</v>
      </c>
      <c r="H3" s="4" t="s">
        <v>47</v>
      </c>
      <c r="I3" s="4" t="s">
        <v>48</v>
      </c>
      <c r="J3" s="4" t="s">
        <v>44</v>
      </c>
    </row>
    <row r="4" customFormat="false" ht="34.5" hidden="false" customHeight="true" outlineLevel="0" collapsed="false">
      <c r="A4" s="4" t="s">
        <v>36</v>
      </c>
      <c r="B4" s="4" t="s">
        <v>49</v>
      </c>
      <c r="C4" s="4" t="s">
        <v>50</v>
      </c>
      <c r="D4" s="4" t="s">
        <v>39</v>
      </c>
      <c r="E4" s="4" t="n">
        <v>4</v>
      </c>
      <c r="F4" s="4" t="s">
        <v>40</v>
      </c>
      <c r="G4" s="4" t="s">
        <v>41</v>
      </c>
      <c r="H4" s="4" t="s">
        <v>51</v>
      </c>
      <c r="I4" s="4" t="s">
        <v>52</v>
      </c>
      <c r="J4" s="4" t="s">
        <v>44</v>
      </c>
    </row>
    <row r="5" customFormat="false" ht="34.5" hidden="false" customHeight="true" outlineLevel="0" collapsed="false">
      <c r="A5" s="4" t="s">
        <v>36</v>
      </c>
      <c r="B5" s="4" t="s">
        <v>53</v>
      </c>
      <c r="C5" s="4" t="s">
        <v>54</v>
      </c>
      <c r="D5" s="4" t="s">
        <v>39</v>
      </c>
      <c r="E5" s="4" t="n">
        <v>4</v>
      </c>
      <c r="F5" s="4" t="s">
        <v>40</v>
      </c>
      <c r="G5" s="4" t="s">
        <v>55</v>
      </c>
      <c r="H5" s="4" t="s">
        <v>56</v>
      </c>
      <c r="I5" s="4" t="s">
        <v>57</v>
      </c>
      <c r="J5" s="4" t="s">
        <v>44</v>
      </c>
    </row>
    <row r="6" customFormat="false" ht="23.25" hidden="false" customHeight="true" outlineLevel="0" collapsed="false">
      <c r="A6" s="4" t="s">
        <v>36</v>
      </c>
      <c r="B6" s="4" t="s">
        <v>58</v>
      </c>
      <c r="C6" s="4" t="s">
        <v>59</v>
      </c>
      <c r="D6" s="4" t="s">
        <v>39</v>
      </c>
      <c r="E6" s="4" t="n">
        <v>4</v>
      </c>
      <c r="F6" s="4" t="s">
        <v>40</v>
      </c>
      <c r="G6" s="4" t="s">
        <v>60</v>
      </c>
      <c r="H6" s="4" t="s">
        <v>61</v>
      </c>
      <c r="I6" s="4" t="s">
        <v>62</v>
      </c>
      <c r="J6" s="4" t="s">
        <v>44</v>
      </c>
    </row>
    <row r="7" customFormat="false" ht="23.25" hidden="false" customHeight="true" outlineLevel="0" collapsed="false">
      <c r="A7" s="4" t="s">
        <v>36</v>
      </c>
      <c r="B7" s="4" t="s">
        <v>63</v>
      </c>
      <c r="C7" s="4" t="s">
        <v>64</v>
      </c>
      <c r="D7" s="4" t="s">
        <v>39</v>
      </c>
      <c r="E7" s="4" t="n">
        <v>4</v>
      </c>
      <c r="F7" s="4" t="s">
        <v>40</v>
      </c>
      <c r="G7" s="4" t="s">
        <v>55</v>
      </c>
      <c r="H7" s="4" t="s">
        <v>65</v>
      </c>
      <c r="I7" s="4" t="s">
        <v>66</v>
      </c>
      <c r="J7" s="4" t="s">
        <v>44</v>
      </c>
    </row>
    <row r="8" customFormat="false" ht="23.25" hidden="false" customHeight="true" outlineLevel="0" collapsed="false">
      <c r="A8" s="4" t="s">
        <v>36</v>
      </c>
      <c r="B8" s="4" t="s">
        <v>67</v>
      </c>
      <c r="C8" s="4" t="s">
        <v>68</v>
      </c>
      <c r="D8" s="4" t="s">
        <v>39</v>
      </c>
      <c r="E8" s="4" t="n">
        <v>4</v>
      </c>
      <c r="F8" s="4" t="s">
        <v>40</v>
      </c>
      <c r="G8" s="4" t="s">
        <v>55</v>
      </c>
      <c r="H8" s="4" t="s">
        <v>69</v>
      </c>
      <c r="I8" s="4" t="s">
        <v>70</v>
      </c>
      <c r="J8" s="4" t="s">
        <v>44</v>
      </c>
    </row>
    <row r="9" customFormat="false" ht="34.5" hidden="false" customHeight="true" outlineLevel="0" collapsed="false">
      <c r="A9" s="4" t="s">
        <v>36</v>
      </c>
      <c r="B9" s="4" t="s">
        <v>71</v>
      </c>
      <c r="C9" s="4" t="s">
        <v>72</v>
      </c>
      <c r="D9" s="4" t="s">
        <v>39</v>
      </c>
      <c r="E9" s="4" t="n">
        <v>4</v>
      </c>
      <c r="F9" s="4" t="s">
        <v>40</v>
      </c>
      <c r="G9" s="4" t="s">
        <v>55</v>
      </c>
      <c r="H9" s="4" t="s">
        <v>73</v>
      </c>
      <c r="I9" s="4" t="s">
        <v>74</v>
      </c>
      <c r="J9" s="4" t="s">
        <v>44</v>
      </c>
    </row>
    <row r="10" customFormat="false" ht="23.25" hidden="false" customHeight="true" outlineLevel="0" collapsed="false">
      <c r="A10" s="4" t="s">
        <v>36</v>
      </c>
      <c r="B10" s="4" t="s">
        <v>75</v>
      </c>
      <c r="C10" s="4" t="s">
        <v>76</v>
      </c>
      <c r="D10" s="4" t="s">
        <v>39</v>
      </c>
      <c r="E10" s="4" t="n">
        <v>4</v>
      </c>
      <c r="F10" s="4" t="s">
        <v>40</v>
      </c>
      <c r="G10" s="4" t="s">
        <v>60</v>
      </c>
      <c r="H10" s="4" t="s">
        <v>77</v>
      </c>
      <c r="I10" s="4" t="s">
        <v>78</v>
      </c>
      <c r="J10" s="4" t="s">
        <v>44</v>
      </c>
    </row>
    <row r="11" customFormat="false" ht="23.25" hidden="false" customHeight="true" outlineLevel="0" collapsed="false">
      <c r="A11" s="4" t="s">
        <v>36</v>
      </c>
      <c r="B11" s="4" t="s">
        <v>79</v>
      </c>
      <c r="C11" s="4" t="s">
        <v>80</v>
      </c>
      <c r="D11" s="4" t="s">
        <v>39</v>
      </c>
      <c r="E11" s="4" t="n">
        <v>4</v>
      </c>
      <c r="F11" s="4" t="s">
        <v>40</v>
      </c>
      <c r="G11" s="4" t="s">
        <v>60</v>
      </c>
      <c r="H11" s="4" t="s">
        <v>81</v>
      </c>
      <c r="I11" s="4" t="s">
        <v>82</v>
      </c>
      <c r="J11" s="4" t="s">
        <v>44</v>
      </c>
    </row>
    <row r="12" customFormat="false" ht="23.25" hidden="false" customHeight="true" outlineLevel="0" collapsed="false">
      <c r="A12" s="4" t="s">
        <v>36</v>
      </c>
      <c r="B12" s="4" t="s">
        <v>83</v>
      </c>
      <c r="C12" s="4" t="s">
        <v>84</v>
      </c>
      <c r="D12" s="4" t="s">
        <v>39</v>
      </c>
      <c r="E12" s="4" t="n">
        <v>4</v>
      </c>
      <c r="F12" s="4" t="s">
        <v>40</v>
      </c>
      <c r="G12" s="4" t="s">
        <v>60</v>
      </c>
      <c r="H12" s="4" t="s">
        <v>85</v>
      </c>
      <c r="I12" s="4" t="s">
        <v>86</v>
      </c>
      <c r="J12" s="4" t="s">
        <v>44</v>
      </c>
    </row>
    <row r="13" customFormat="false" ht="23.25" hidden="false" customHeight="true" outlineLevel="0" collapsed="false">
      <c r="A13" s="4" t="s">
        <v>36</v>
      </c>
      <c r="B13" s="4" t="s">
        <v>87</v>
      </c>
      <c r="C13" s="4" t="s">
        <v>88</v>
      </c>
      <c r="D13" s="4" t="s">
        <v>89</v>
      </c>
      <c r="E13" s="4" t="n">
        <v>4</v>
      </c>
      <c r="F13" s="4" t="s">
        <v>40</v>
      </c>
      <c r="G13" s="4" t="s">
        <v>41</v>
      </c>
      <c r="H13" s="4" t="s">
        <v>90</v>
      </c>
      <c r="I13" s="4" t="s">
        <v>91</v>
      </c>
      <c r="J13" s="4" t="s">
        <v>44</v>
      </c>
    </row>
    <row r="14" customFormat="false" ht="23.25" hidden="false" customHeight="true" outlineLevel="0" collapsed="false">
      <c r="A14" s="4" t="s">
        <v>36</v>
      </c>
      <c r="B14" s="4" t="s">
        <v>92</v>
      </c>
      <c r="C14" s="4" t="s">
        <v>93</v>
      </c>
      <c r="D14" s="4" t="s">
        <v>89</v>
      </c>
      <c r="E14" s="4" t="n">
        <v>4</v>
      </c>
      <c r="F14" s="4" t="s">
        <v>40</v>
      </c>
      <c r="G14" s="4" t="s">
        <v>41</v>
      </c>
      <c r="H14" s="4" t="s">
        <v>94</v>
      </c>
      <c r="I14" s="4" t="s">
        <v>95</v>
      </c>
      <c r="J14" s="4" t="s">
        <v>44</v>
      </c>
    </row>
    <row r="15" customFormat="false" ht="23.25" hidden="false" customHeight="true" outlineLevel="0" collapsed="false">
      <c r="A15" s="4" t="s">
        <v>36</v>
      </c>
      <c r="B15" s="4" t="s">
        <v>96</v>
      </c>
      <c r="C15" s="4" t="s">
        <v>97</v>
      </c>
      <c r="D15" s="4" t="s">
        <v>89</v>
      </c>
      <c r="E15" s="4" t="n">
        <v>4</v>
      </c>
      <c r="F15" s="4" t="s">
        <v>40</v>
      </c>
      <c r="G15" s="4" t="s">
        <v>55</v>
      </c>
      <c r="H15" s="4" t="s">
        <v>98</v>
      </c>
      <c r="I15" s="4" t="s">
        <v>99</v>
      </c>
      <c r="J15" s="4" t="s">
        <v>44</v>
      </c>
    </row>
    <row r="16" customFormat="false" ht="23.25" hidden="false" customHeight="true" outlineLevel="0" collapsed="false">
      <c r="A16" s="4" t="s">
        <v>36</v>
      </c>
      <c r="B16" s="4" t="s">
        <v>100</v>
      </c>
      <c r="C16" s="4" t="s">
        <v>101</v>
      </c>
      <c r="D16" s="4" t="s">
        <v>89</v>
      </c>
      <c r="E16" s="4" t="n">
        <v>4</v>
      </c>
      <c r="F16" s="4" t="s">
        <v>40</v>
      </c>
      <c r="G16" s="4" t="s">
        <v>55</v>
      </c>
      <c r="H16" s="4" t="s">
        <v>102</v>
      </c>
      <c r="I16" s="4" t="s">
        <v>103</v>
      </c>
      <c r="J16" s="4" t="s">
        <v>44</v>
      </c>
    </row>
    <row r="17" customFormat="false" ht="23.25" hidden="false" customHeight="true" outlineLevel="0" collapsed="false">
      <c r="A17" s="4" t="s">
        <v>36</v>
      </c>
      <c r="B17" s="4" t="s">
        <v>104</v>
      </c>
      <c r="C17" s="4" t="s">
        <v>105</v>
      </c>
      <c r="D17" s="4" t="s">
        <v>89</v>
      </c>
      <c r="E17" s="4" t="n">
        <v>4</v>
      </c>
      <c r="F17" s="4" t="s">
        <v>40</v>
      </c>
      <c r="G17" s="4" t="s">
        <v>55</v>
      </c>
      <c r="H17" s="4" t="s">
        <v>106</v>
      </c>
      <c r="I17" s="4" t="s">
        <v>107</v>
      </c>
      <c r="J17" s="4" t="s">
        <v>44</v>
      </c>
    </row>
    <row r="18" customFormat="false" ht="23.25" hidden="false" customHeight="true" outlineLevel="0" collapsed="false">
      <c r="A18" s="4" t="s">
        <v>36</v>
      </c>
      <c r="B18" s="4" t="s">
        <v>108</v>
      </c>
      <c r="C18" s="4" t="s">
        <v>109</v>
      </c>
      <c r="D18" s="4" t="s">
        <v>89</v>
      </c>
      <c r="E18" s="4" t="n">
        <v>4</v>
      </c>
      <c r="F18" s="4" t="s">
        <v>40</v>
      </c>
      <c r="G18" s="4" t="s">
        <v>55</v>
      </c>
      <c r="H18" s="4" t="s">
        <v>110</v>
      </c>
      <c r="I18" s="4" t="s">
        <v>111</v>
      </c>
      <c r="J18" s="4" t="s">
        <v>44</v>
      </c>
    </row>
    <row r="19" customFormat="false" ht="34.5" hidden="false" customHeight="true" outlineLevel="0" collapsed="false">
      <c r="A19" s="4" t="s">
        <v>36</v>
      </c>
      <c r="B19" s="4" t="s">
        <v>112</v>
      </c>
      <c r="C19" s="4" t="s">
        <v>113</v>
      </c>
      <c r="D19" s="4" t="s">
        <v>114</v>
      </c>
      <c r="E19" s="4" t="n">
        <v>4</v>
      </c>
      <c r="F19" s="4" t="s">
        <v>40</v>
      </c>
      <c r="G19" s="4" t="s">
        <v>41</v>
      </c>
      <c r="H19" s="4" t="s">
        <v>115</v>
      </c>
      <c r="I19" s="4" t="s">
        <v>116</v>
      </c>
      <c r="J19" s="4" t="s">
        <v>44</v>
      </c>
    </row>
    <row r="20" customFormat="false" ht="34.5" hidden="false" customHeight="true" outlineLevel="0" collapsed="false">
      <c r="A20" s="4" t="s">
        <v>36</v>
      </c>
      <c r="B20" s="4" t="s">
        <v>117</v>
      </c>
      <c r="C20" s="4" t="s">
        <v>118</v>
      </c>
      <c r="D20" s="4" t="s">
        <v>114</v>
      </c>
      <c r="E20" s="4" t="n">
        <v>4</v>
      </c>
      <c r="F20" s="4" t="s">
        <v>40</v>
      </c>
      <c r="G20" s="4" t="s">
        <v>55</v>
      </c>
      <c r="H20" s="4" t="s">
        <v>119</v>
      </c>
      <c r="I20" s="4" t="s">
        <v>120</v>
      </c>
      <c r="J20" s="4" t="s">
        <v>44</v>
      </c>
    </row>
    <row r="21" customFormat="false" ht="34.5" hidden="false" customHeight="true" outlineLevel="0" collapsed="false">
      <c r="A21" s="4" t="s">
        <v>36</v>
      </c>
      <c r="B21" s="4" t="s">
        <v>121</v>
      </c>
      <c r="C21" s="4" t="s">
        <v>122</v>
      </c>
      <c r="D21" s="4" t="s">
        <v>114</v>
      </c>
      <c r="E21" s="4" t="n">
        <v>4</v>
      </c>
      <c r="F21" s="4" t="s">
        <v>40</v>
      </c>
      <c r="G21" s="4" t="s">
        <v>55</v>
      </c>
      <c r="H21" s="4" t="s">
        <v>123</v>
      </c>
      <c r="I21" s="4" t="s">
        <v>124</v>
      </c>
      <c r="J21" s="4" t="s">
        <v>44</v>
      </c>
    </row>
    <row r="22" customFormat="false" ht="23.25" hidden="false" customHeight="true" outlineLevel="0" collapsed="false">
      <c r="A22" s="4" t="s">
        <v>36</v>
      </c>
      <c r="B22" s="4" t="s">
        <v>125</v>
      </c>
      <c r="C22" s="4" t="s">
        <v>126</v>
      </c>
      <c r="D22" s="4" t="s">
        <v>114</v>
      </c>
      <c r="E22" s="4" t="n">
        <v>4</v>
      </c>
      <c r="F22" s="4" t="s">
        <v>40</v>
      </c>
      <c r="G22" s="4" t="s">
        <v>55</v>
      </c>
      <c r="H22" s="4" t="s">
        <v>127</v>
      </c>
      <c r="I22" s="4" t="s">
        <v>128</v>
      </c>
      <c r="J22" s="4" t="s">
        <v>44</v>
      </c>
    </row>
    <row r="23" customFormat="false" ht="23.25" hidden="false" customHeight="true" outlineLevel="0" collapsed="false">
      <c r="A23" s="4" t="s">
        <v>36</v>
      </c>
      <c r="B23" s="4" t="s">
        <v>129</v>
      </c>
      <c r="C23" s="4" t="s">
        <v>130</v>
      </c>
      <c r="D23" s="4" t="s">
        <v>114</v>
      </c>
      <c r="E23" s="4" t="n">
        <v>4</v>
      </c>
      <c r="F23" s="4" t="s">
        <v>40</v>
      </c>
      <c r="G23" s="4" t="s">
        <v>55</v>
      </c>
      <c r="H23" s="4" t="s">
        <v>131</v>
      </c>
      <c r="I23" s="4" t="s">
        <v>132</v>
      </c>
      <c r="J23" s="4" t="s">
        <v>44</v>
      </c>
    </row>
    <row r="24" customFormat="false" ht="23.25" hidden="false" customHeight="true" outlineLevel="0" collapsed="false">
      <c r="A24" s="4" t="s">
        <v>36</v>
      </c>
      <c r="B24" s="4" t="s">
        <v>133</v>
      </c>
      <c r="C24" s="4" t="s">
        <v>134</v>
      </c>
      <c r="D24" s="4" t="s">
        <v>114</v>
      </c>
      <c r="E24" s="4" t="n">
        <v>4</v>
      </c>
      <c r="F24" s="4" t="s">
        <v>40</v>
      </c>
      <c r="G24" s="4" t="s">
        <v>55</v>
      </c>
      <c r="H24" s="4" t="s">
        <v>135</v>
      </c>
      <c r="I24" s="4" t="s">
        <v>136</v>
      </c>
      <c r="J24" s="4" t="s">
        <v>44</v>
      </c>
    </row>
    <row r="25" customFormat="false" ht="23.25" hidden="false" customHeight="true" outlineLevel="0" collapsed="false">
      <c r="A25" s="4" t="s">
        <v>36</v>
      </c>
      <c r="B25" s="4" t="s">
        <v>137</v>
      </c>
      <c r="C25" s="4" t="s">
        <v>138</v>
      </c>
      <c r="D25" s="4" t="s">
        <v>114</v>
      </c>
      <c r="E25" s="4" t="n">
        <v>4</v>
      </c>
      <c r="F25" s="4" t="s">
        <v>40</v>
      </c>
      <c r="G25" s="4" t="s">
        <v>55</v>
      </c>
      <c r="H25" s="4" t="s">
        <v>139</v>
      </c>
      <c r="I25" s="4" t="s">
        <v>140</v>
      </c>
      <c r="J25" s="4" t="s">
        <v>44</v>
      </c>
    </row>
    <row r="26" customFormat="false" ht="23.25" hidden="false" customHeight="true" outlineLevel="0" collapsed="false">
      <c r="A26" s="4" t="s">
        <v>36</v>
      </c>
      <c r="B26" s="4" t="s">
        <v>141</v>
      </c>
      <c r="C26" s="4" t="s">
        <v>142</v>
      </c>
      <c r="D26" s="4" t="s">
        <v>114</v>
      </c>
      <c r="E26" s="4" t="n">
        <v>4</v>
      </c>
      <c r="F26" s="4" t="s">
        <v>40</v>
      </c>
      <c r="G26" s="4" t="s">
        <v>55</v>
      </c>
      <c r="H26" s="4" t="s">
        <v>143</v>
      </c>
      <c r="I26" s="4" t="s">
        <v>144</v>
      </c>
      <c r="J26" s="4" t="s">
        <v>44</v>
      </c>
    </row>
    <row r="27" customFormat="false" ht="23.25" hidden="false" customHeight="true" outlineLevel="0" collapsed="false">
      <c r="A27" s="4" t="s">
        <v>36</v>
      </c>
      <c r="B27" s="4" t="s">
        <v>145</v>
      </c>
      <c r="C27" s="4" t="s">
        <v>146</v>
      </c>
      <c r="D27" s="4" t="s">
        <v>114</v>
      </c>
      <c r="E27" s="4" t="n">
        <v>4</v>
      </c>
      <c r="F27" s="4" t="s">
        <v>40</v>
      </c>
      <c r="G27" s="4" t="s">
        <v>60</v>
      </c>
      <c r="H27" s="4" t="s">
        <v>147</v>
      </c>
      <c r="I27" s="4" t="s">
        <v>148</v>
      </c>
      <c r="J27" s="4" t="s">
        <v>44</v>
      </c>
    </row>
    <row r="28" customFormat="false" ht="23.25" hidden="false" customHeight="true" outlineLevel="0" collapsed="false">
      <c r="A28" s="4" t="s">
        <v>36</v>
      </c>
      <c r="B28" s="4" t="s">
        <v>149</v>
      </c>
      <c r="C28" s="4" t="s">
        <v>150</v>
      </c>
      <c r="D28" s="4" t="s">
        <v>151</v>
      </c>
      <c r="E28" s="4" t="n">
        <v>4</v>
      </c>
      <c r="F28" s="4" t="s">
        <v>40</v>
      </c>
      <c r="G28" s="4" t="s">
        <v>41</v>
      </c>
      <c r="H28" s="4" t="s">
        <v>152</v>
      </c>
      <c r="I28" s="4" t="s">
        <v>153</v>
      </c>
      <c r="J28" s="4" t="s">
        <v>44</v>
      </c>
    </row>
    <row r="29" customFormat="false" ht="23.25" hidden="false" customHeight="true" outlineLevel="0" collapsed="false">
      <c r="A29" s="4" t="s">
        <v>36</v>
      </c>
      <c r="B29" s="4" t="s">
        <v>154</v>
      </c>
      <c r="C29" s="4" t="s">
        <v>155</v>
      </c>
      <c r="D29" s="4" t="s">
        <v>151</v>
      </c>
      <c r="E29" s="4" t="n">
        <v>4</v>
      </c>
      <c r="F29" s="4" t="s">
        <v>40</v>
      </c>
      <c r="G29" s="4" t="s">
        <v>41</v>
      </c>
      <c r="H29" s="4" t="s">
        <v>156</v>
      </c>
      <c r="I29" s="4" t="s">
        <v>157</v>
      </c>
      <c r="J29" s="4" t="s">
        <v>44</v>
      </c>
    </row>
    <row r="30" customFormat="false" ht="23.25" hidden="false" customHeight="true" outlineLevel="0" collapsed="false">
      <c r="A30" s="4" t="s">
        <v>36</v>
      </c>
      <c r="B30" s="4" t="s">
        <v>158</v>
      </c>
      <c r="C30" s="4" t="s">
        <v>159</v>
      </c>
      <c r="D30" s="4" t="s">
        <v>151</v>
      </c>
      <c r="E30" s="4" t="n">
        <v>4</v>
      </c>
      <c r="F30" s="4" t="s">
        <v>40</v>
      </c>
      <c r="G30" s="4" t="s">
        <v>55</v>
      </c>
      <c r="H30" s="4" t="s">
        <v>160</v>
      </c>
      <c r="I30" s="4" t="s">
        <v>161</v>
      </c>
      <c r="J30" s="4" t="s">
        <v>44</v>
      </c>
    </row>
    <row r="31" customFormat="false" ht="23.25" hidden="false" customHeight="true" outlineLevel="0" collapsed="false">
      <c r="A31" s="4" t="s">
        <v>36</v>
      </c>
      <c r="B31" s="4" t="s">
        <v>162</v>
      </c>
      <c r="C31" s="4" t="s">
        <v>163</v>
      </c>
      <c r="D31" s="4" t="s">
        <v>151</v>
      </c>
      <c r="E31" s="4" t="n">
        <v>4</v>
      </c>
      <c r="F31" s="4" t="s">
        <v>40</v>
      </c>
      <c r="G31" s="4" t="s">
        <v>55</v>
      </c>
      <c r="H31" s="4" t="s">
        <v>164</v>
      </c>
      <c r="I31" s="4" t="s">
        <v>165</v>
      </c>
      <c r="J31" s="4" t="s">
        <v>44</v>
      </c>
    </row>
    <row r="32" customFormat="false" ht="23.25" hidden="false" customHeight="true" outlineLevel="0" collapsed="false">
      <c r="A32" s="4" t="s">
        <v>36</v>
      </c>
      <c r="B32" s="4" t="s">
        <v>166</v>
      </c>
      <c r="C32" s="4" t="s">
        <v>167</v>
      </c>
      <c r="D32" s="4" t="s">
        <v>151</v>
      </c>
      <c r="E32" s="4" t="n">
        <v>4</v>
      </c>
      <c r="F32" s="4" t="s">
        <v>40</v>
      </c>
      <c r="G32" s="4" t="s">
        <v>41</v>
      </c>
      <c r="H32" s="4" t="s">
        <v>168</v>
      </c>
      <c r="I32" s="4" t="s">
        <v>169</v>
      </c>
      <c r="J32" s="4" t="s">
        <v>44</v>
      </c>
    </row>
    <row r="33" customFormat="false" ht="23.25" hidden="false" customHeight="true" outlineLevel="0" collapsed="false">
      <c r="A33" s="4" t="s">
        <v>36</v>
      </c>
      <c r="B33" s="4" t="s">
        <v>170</v>
      </c>
      <c r="C33" s="4" t="s">
        <v>171</v>
      </c>
      <c r="D33" s="4" t="s">
        <v>151</v>
      </c>
      <c r="E33" s="4" t="n">
        <v>4</v>
      </c>
      <c r="F33" s="4" t="s">
        <v>40</v>
      </c>
      <c r="G33" s="4" t="s">
        <v>41</v>
      </c>
      <c r="H33" s="4" t="s">
        <v>172</v>
      </c>
      <c r="I33" s="4" t="s">
        <v>173</v>
      </c>
      <c r="J33" s="4" t="s">
        <v>44</v>
      </c>
    </row>
    <row r="34" customFormat="false" ht="23.25" hidden="false" customHeight="true" outlineLevel="0" collapsed="false">
      <c r="A34" s="4" t="s">
        <v>36</v>
      </c>
      <c r="B34" s="4" t="s">
        <v>174</v>
      </c>
      <c r="C34" s="4" t="s">
        <v>175</v>
      </c>
      <c r="D34" s="4" t="s">
        <v>151</v>
      </c>
      <c r="E34" s="4" t="n">
        <v>4</v>
      </c>
      <c r="F34" s="4" t="s">
        <v>40</v>
      </c>
      <c r="G34" s="4" t="s">
        <v>55</v>
      </c>
      <c r="H34" s="4" t="s">
        <v>176</v>
      </c>
      <c r="I34" s="4" t="s">
        <v>177</v>
      </c>
      <c r="J34" s="4" t="s">
        <v>44</v>
      </c>
    </row>
    <row r="35" customFormat="false" ht="23.25" hidden="false" customHeight="true" outlineLevel="0" collapsed="false">
      <c r="A35" s="4" t="s">
        <v>36</v>
      </c>
      <c r="B35" s="4" t="s">
        <v>178</v>
      </c>
      <c r="C35" s="4" t="s">
        <v>179</v>
      </c>
      <c r="D35" s="4" t="s">
        <v>151</v>
      </c>
      <c r="E35" s="4" t="n">
        <v>4</v>
      </c>
      <c r="F35" s="4" t="s">
        <v>40</v>
      </c>
      <c r="G35" s="4" t="s">
        <v>55</v>
      </c>
      <c r="H35" s="4" t="s">
        <v>180</v>
      </c>
      <c r="I35" s="4" t="s">
        <v>181</v>
      </c>
      <c r="J35" s="4" t="s">
        <v>44</v>
      </c>
    </row>
    <row r="36" customFormat="false" ht="23.25" hidden="false" customHeight="true" outlineLevel="0" collapsed="false">
      <c r="A36" s="4" t="s">
        <v>36</v>
      </c>
      <c r="B36" s="4" t="s">
        <v>182</v>
      </c>
      <c r="C36" s="4" t="s">
        <v>183</v>
      </c>
      <c r="D36" s="4" t="s">
        <v>184</v>
      </c>
      <c r="E36" s="4" t="n">
        <v>4</v>
      </c>
      <c r="F36" s="4" t="s">
        <v>40</v>
      </c>
      <c r="G36" s="4" t="s">
        <v>41</v>
      </c>
      <c r="H36" s="4" t="s">
        <v>185</v>
      </c>
      <c r="I36" s="4" t="s">
        <v>186</v>
      </c>
      <c r="J36" s="4" t="s">
        <v>44</v>
      </c>
    </row>
    <row r="37" customFormat="false" ht="23.25" hidden="false" customHeight="true" outlineLevel="0" collapsed="false">
      <c r="A37" s="4" t="s">
        <v>36</v>
      </c>
      <c r="B37" s="4" t="s">
        <v>187</v>
      </c>
      <c r="C37" s="4" t="s">
        <v>188</v>
      </c>
      <c r="D37" s="4" t="s">
        <v>184</v>
      </c>
      <c r="E37" s="4" t="n">
        <v>4</v>
      </c>
      <c r="F37" s="4" t="s">
        <v>40</v>
      </c>
      <c r="G37" s="4" t="s">
        <v>41</v>
      </c>
      <c r="H37" s="4" t="s">
        <v>189</v>
      </c>
      <c r="I37" s="4" t="s">
        <v>190</v>
      </c>
      <c r="J37" s="4" t="s">
        <v>44</v>
      </c>
    </row>
    <row r="38" customFormat="false" ht="23.25" hidden="false" customHeight="true" outlineLevel="0" collapsed="false">
      <c r="A38" s="4" t="s">
        <v>36</v>
      </c>
      <c r="B38" s="4" t="s">
        <v>191</v>
      </c>
      <c r="C38" s="4" t="s">
        <v>192</v>
      </c>
      <c r="D38" s="4" t="s">
        <v>184</v>
      </c>
      <c r="E38" s="4" t="n">
        <v>4</v>
      </c>
      <c r="F38" s="4" t="s">
        <v>40</v>
      </c>
      <c r="G38" s="4" t="s">
        <v>55</v>
      </c>
      <c r="H38" s="4" t="s">
        <v>193</v>
      </c>
      <c r="I38" s="4" t="s">
        <v>194</v>
      </c>
      <c r="J38" s="4" t="s">
        <v>44</v>
      </c>
    </row>
    <row r="39" customFormat="false" ht="23.25" hidden="false" customHeight="true" outlineLevel="0" collapsed="false">
      <c r="A39" s="4" t="s">
        <v>36</v>
      </c>
      <c r="B39" s="4" t="s">
        <v>195</v>
      </c>
      <c r="C39" s="4" t="s">
        <v>196</v>
      </c>
      <c r="D39" s="4" t="s">
        <v>184</v>
      </c>
      <c r="E39" s="4" t="n">
        <v>4</v>
      </c>
      <c r="F39" s="4" t="s">
        <v>40</v>
      </c>
      <c r="G39" s="4" t="s">
        <v>55</v>
      </c>
      <c r="H39" s="4" t="s">
        <v>197</v>
      </c>
      <c r="I39" s="4" t="s">
        <v>198</v>
      </c>
      <c r="J39" s="4" t="s">
        <v>44</v>
      </c>
    </row>
    <row r="40" customFormat="false" ht="23.25" hidden="false" customHeight="true" outlineLevel="0" collapsed="false">
      <c r="A40" s="4" t="s">
        <v>36</v>
      </c>
      <c r="B40" s="4" t="s">
        <v>199</v>
      </c>
      <c r="C40" s="4" t="s">
        <v>200</v>
      </c>
      <c r="D40" s="4" t="s">
        <v>184</v>
      </c>
      <c r="E40" s="4" t="n">
        <v>4</v>
      </c>
      <c r="F40" s="4" t="s">
        <v>40</v>
      </c>
      <c r="G40" s="4" t="s">
        <v>55</v>
      </c>
      <c r="H40" s="4" t="s">
        <v>201</v>
      </c>
      <c r="I40" s="4" t="s">
        <v>202</v>
      </c>
      <c r="J40" s="4" t="s">
        <v>44</v>
      </c>
    </row>
    <row r="41" customFormat="false" ht="23.25" hidden="false" customHeight="true" outlineLevel="0" collapsed="false">
      <c r="A41" s="4" t="s">
        <v>36</v>
      </c>
      <c r="B41" s="4" t="s">
        <v>203</v>
      </c>
      <c r="C41" s="4" t="s">
        <v>204</v>
      </c>
      <c r="D41" s="4" t="s">
        <v>184</v>
      </c>
      <c r="E41" s="4" t="n">
        <v>4</v>
      </c>
      <c r="F41" s="4" t="s">
        <v>40</v>
      </c>
      <c r="G41" s="4" t="s">
        <v>55</v>
      </c>
      <c r="H41" s="4" t="s">
        <v>205</v>
      </c>
      <c r="I41" s="4" t="s">
        <v>206</v>
      </c>
      <c r="J41" s="4" t="s">
        <v>44</v>
      </c>
    </row>
    <row r="42" customFormat="false" ht="23.25" hidden="false" customHeight="true" outlineLevel="0" collapsed="false">
      <c r="A42" s="4" t="s">
        <v>36</v>
      </c>
      <c r="B42" s="4" t="s">
        <v>207</v>
      </c>
      <c r="C42" s="4" t="s">
        <v>208</v>
      </c>
      <c r="D42" s="4" t="s">
        <v>184</v>
      </c>
      <c r="E42" s="4" t="n">
        <v>4</v>
      </c>
      <c r="F42" s="4" t="s">
        <v>40</v>
      </c>
      <c r="G42" s="4" t="s">
        <v>60</v>
      </c>
      <c r="H42" s="4" t="s">
        <v>209</v>
      </c>
      <c r="I42" s="4" t="s">
        <v>210</v>
      </c>
      <c r="J42" s="4" t="s">
        <v>44</v>
      </c>
    </row>
    <row r="43" customFormat="false" ht="23.25" hidden="false" customHeight="true" outlineLevel="0" collapsed="false">
      <c r="A43" s="4" t="s">
        <v>211</v>
      </c>
      <c r="B43" s="4" t="s">
        <v>212</v>
      </c>
      <c r="C43" s="4" t="s">
        <v>213</v>
      </c>
      <c r="D43" s="4" t="s">
        <v>39</v>
      </c>
      <c r="E43" s="4" t="n">
        <v>5</v>
      </c>
      <c r="F43" s="4" t="s">
        <v>40</v>
      </c>
      <c r="G43" s="4" t="s">
        <v>41</v>
      </c>
      <c r="H43" s="4" t="s">
        <v>214</v>
      </c>
      <c r="I43" s="4" t="s">
        <v>215</v>
      </c>
      <c r="J43" s="4" t="s">
        <v>44</v>
      </c>
    </row>
    <row r="44" customFormat="false" ht="34.5" hidden="false" customHeight="true" outlineLevel="0" collapsed="false">
      <c r="A44" s="4" t="s">
        <v>211</v>
      </c>
      <c r="B44" s="4" t="s">
        <v>216</v>
      </c>
      <c r="C44" s="4" t="s">
        <v>217</v>
      </c>
      <c r="D44" s="4" t="s">
        <v>39</v>
      </c>
      <c r="E44" s="4" t="n">
        <v>5</v>
      </c>
      <c r="F44" s="4" t="s">
        <v>40</v>
      </c>
      <c r="G44" s="4" t="s">
        <v>41</v>
      </c>
      <c r="H44" s="4" t="s">
        <v>218</v>
      </c>
      <c r="I44" s="4" t="s">
        <v>219</v>
      </c>
      <c r="J44" s="4" t="s">
        <v>44</v>
      </c>
    </row>
    <row r="45" customFormat="false" ht="23.25" hidden="false" customHeight="true" outlineLevel="0" collapsed="false">
      <c r="A45" s="4" t="s">
        <v>211</v>
      </c>
      <c r="B45" s="4" t="s">
        <v>220</v>
      </c>
      <c r="C45" s="4" t="s">
        <v>221</v>
      </c>
      <c r="D45" s="4" t="s">
        <v>39</v>
      </c>
      <c r="E45" s="4" t="n">
        <v>5</v>
      </c>
      <c r="F45" s="4" t="s">
        <v>40</v>
      </c>
      <c r="G45" s="4" t="s">
        <v>55</v>
      </c>
      <c r="H45" s="4" t="s">
        <v>222</v>
      </c>
      <c r="I45" s="4" t="s">
        <v>223</v>
      </c>
      <c r="J45" s="4" t="s">
        <v>44</v>
      </c>
    </row>
    <row r="46" customFormat="false" ht="23.25" hidden="false" customHeight="true" outlineLevel="0" collapsed="false">
      <c r="A46" s="4" t="s">
        <v>211</v>
      </c>
      <c r="B46" s="4" t="s">
        <v>224</v>
      </c>
      <c r="C46" s="4" t="s">
        <v>225</v>
      </c>
      <c r="D46" s="4" t="s">
        <v>39</v>
      </c>
      <c r="E46" s="4" t="n">
        <v>4</v>
      </c>
      <c r="F46" s="4" t="s">
        <v>40</v>
      </c>
      <c r="G46" s="4" t="s">
        <v>41</v>
      </c>
      <c r="H46" s="4" t="s">
        <v>226</v>
      </c>
      <c r="I46" s="4" t="s">
        <v>227</v>
      </c>
      <c r="J46" s="4" t="s">
        <v>44</v>
      </c>
    </row>
    <row r="47" customFormat="false" ht="23.25" hidden="false" customHeight="true" outlineLevel="0" collapsed="false">
      <c r="A47" s="4" t="s">
        <v>211</v>
      </c>
      <c r="B47" s="4" t="s">
        <v>228</v>
      </c>
      <c r="C47" s="4" t="s">
        <v>229</v>
      </c>
      <c r="D47" s="4" t="s">
        <v>39</v>
      </c>
      <c r="E47" s="4" t="n">
        <v>5</v>
      </c>
      <c r="F47" s="4" t="s">
        <v>40</v>
      </c>
      <c r="G47" s="4" t="s">
        <v>55</v>
      </c>
      <c r="H47" s="4" t="s">
        <v>230</v>
      </c>
      <c r="I47" s="4" t="s">
        <v>231</v>
      </c>
      <c r="J47" s="4" t="s">
        <v>44</v>
      </c>
    </row>
    <row r="48" customFormat="false" ht="23.25" hidden="false" customHeight="true" outlineLevel="0" collapsed="false">
      <c r="A48" s="4" t="s">
        <v>211</v>
      </c>
      <c r="B48" s="4" t="s">
        <v>232</v>
      </c>
      <c r="C48" s="4" t="s">
        <v>233</v>
      </c>
      <c r="D48" s="4" t="s">
        <v>39</v>
      </c>
      <c r="E48" s="4" t="n">
        <v>4</v>
      </c>
      <c r="F48" s="4" t="s">
        <v>40</v>
      </c>
      <c r="G48" s="4" t="s">
        <v>60</v>
      </c>
      <c r="H48" s="4" t="s">
        <v>234</v>
      </c>
      <c r="I48" s="4" t="s">
        <v>235</v>
      </c>
      <c r="J48" s="4" t="s">
        <v>44</v>
      </c>
    </row>
    <row r="49" customFormat="false" ht="23.25" hidden="false" customHeight="true" outlineLevel="0" collapsed="false">
      <c r="A49" s="4" t="s">
        <v>211</v>
      </c>
      <c r="B49" s="4" t="s">
        <v>236</v>
      </c>
      <c r="C49" s="4" t="s">
        <v>54</v>
      </c>
      <c r="D49" s="4" t="s">
        <v>39</v>
      </c>
      <c r="E49" s="4" t="n">
        <v>4</v>
      </c>
      <c r="F49" s="4" t="s">
        <v>40</v>
      </c>
      <c r="G49" s="4" t="s">
        <v>55</v>
      </c>
      <c r="H49" s="4" t="s">
        <v>237</v>
      </c>
      <c r="I49" s="4" t="s">
        <v>238</v>
      </c>
      <c r="J49" s="4" t="s">
        <v>44</v>
      </c>
    </row>
    <row r="50" customFormat="false" ht="23.25" hidden="false" customHeight="true" outlineLevel="0" collapsed="false">
      <c r="A50" s="4" t="s">
        <v>211</v>
      </c>
      <c r="B50" s="4" t="s">
        <v>239</v>
      </c>
      <c r="C50" s="4" t="s">
        <v>240</v>
      </c>
      <c r="D50" s="4" t="s">
        <v>39</v>
      </c>
      <c r="E50" s="4" t="n">
        <v>4</v>
      </c>
      <c r="F50" s="4" t="s">
        <v>40</v>
      </c>
      <c r="G50" s="4" t="s">
        <v>60</v>
      </c>
      <c r="H50" s="4" t="s">
        <v>241</v>
      </c>
      <c r="I50" s="4" t="s">
        <v>242</v>
      </c>
      <c r="J50" s="4" t="s">
        <v>44</v>
      </c>
    </row>
    <row r="51" customFormat="false" ht="15" hidden="false" customHeight="true" outlineLevel="0" collapsed="false">
      <c r="A51" s="4" t="s">
        <v>211</v>
      </c>
      <c r="B51" s="4" t="s">
        <v>243</v>
      </c>
      <c r="C51" s="4" t="s">
        <v>244</v>
      </c>
      <c r="D51" s="4" t="s">
        <v>39</v>
      </c>
      <c r="E51" s="4" t="n">
        <v>4</v>
      </c>
      <c r="F51" s="4" t="s">
        <v>40</v>
      </c>
      <c r="G51" s="4" t="s">
        <v>60</v>
      </c>
      <c r="H51" s="4" t="s">
        <v>245</v>
      </c>
      <c r="I51" s="4" t="s">
        <v>246</v>
      </c>
      <c r="J51" s="4" t="s">
        <v>44</v>
      </c>
    </row>
    <row r="52" customFormat="false" ht="23.25" hidden="false" customHeight="true" outlineLevel="0" collapsed="false">
      <c r="A52" s="4" t="s">
        <v>211</v>
      </c>
      <c r="B52" s="4" t="s">
        <v>247</v>
      </c>
      <c r="C52" s="4" t="s">
        <v>248</v>
      </c>
      <c r="D52" s="4" t="s">
        <v>39</v>
      </c>
      <c r="E52" s="4" t="n">
        <v>4</v>
      </c>
      <c r="F52" s="4" t="s">
        <v>40</v>
      </c>
      <c r="G52" s="4" t="s">
        <v>55</v>
      </c>
      <c r="H52" s="4" t="s">
        <v>249</v>
      </c>
      <c r="I52" s="4" t="s">
        <v>250</v>
      </c>
      <c r="J52" s="4" t="s">
        <v>44</v>
      </c>
    </row>
    <row r="53" customFormat="false" ht="23.25" hidden="false" customHeight="true" outlineLevel="0" collapsed="false">
      <c r="A53" s="4" t="s">
        <v>211</v>
      </c>
      <c r="B53" s="4" t="s">
        <v>251</v>
      </c>
      <c r="C53" s="4" t="s">
        <v>252</v>
      </c>
      <c r="D53" s="4" t="s">
        <v>39</v>
      </c>
      <c r="E53" s="4" t="n">
        <v>4</v>
      </c>
      <c r="F53" s="4" t="s">
        <v>40</v>
      </c>
      <c r="G53" s="4" t="s">
        <v>55</v>
      </c>
      <c r="H53" s="4" t="s">
        <v>253</v>
      </c>
      <c r="I53" s="4" t="s">
        <v>254</v>
      </c>
      <c r="J53" s="4" t="s">
        <v>44</v>
      </c>
    </row>
    <row r="54" customFormat="false" ht="23.25" hidden="false" customHeight="true" outlineLevel="0" collapsed="false">
      <c r="A54" s="4" t="s">
        <v>211</v>
      </c>
      <c r="B54" s="4" t="s">
        <v>255</v>
      </c>
      <c r="C54" s="4" t="s">
        <v>256</v>
      </c>
      <c r="D54" s="4" t="s">
        <v>89</v>
      </c>
      <c r="E54" s="4" t="n">
        <v>4</v>
      </c>
      <c r="F54" s="4" t="s">
        <v>40</v>
      </c>
      <c r="G54" s="4" t="s">
        <v>41</v>
      </c>
      <c r="H54" s="4" t="s">
        <v>257</v>
      </c>
      <c r="I54" s="4" t="s">
        <v>258</v>
      </c>
      <c r="J54" s="4" t="s">
        <v>44</v>
      </c>
    </row>
    <row r="55" customFormat="false" ht="23.25" hidden="false" customHeight="true" outlineLevel="0" collapsed="false">
      <c r="A55" s="4" t="s">
        <v>211</v>
      </c>
      <c r="B55" s="4" t="s">
        <v>259</v>
      </c>
      <c r="C55" s="4" t="s">
        <v>260</v>
      </c>
      <c r="D55" s="4" t="s">
        <v>89</v>
      </c>
      <c r="E55" s="4" t="n">
        <v>4</v>
      </c>
      <c r="F55" s="4" t="s">
        <v>40</v>
      </c>
      <c r="G55" s="4" t="s">
        <v>41</v>
      </c>
      <c r="H55" s="4" t="s">
        <v>261</v>
      </c>
      <c r="I55" s="4" t="s">
        <v>262</v>
      </c>
      <c r="J55" s="4" t="s">
        <v>44</v>
      </c>
    </row>
    <row r="56" customFormat="false" ht="23.25" hidden="false" customHeight="true" outlineLevel="0" collapsed="false">
      <c r="A56" s="4" t="s">
        <v>211</v>
      </c>
      <c r="B56" s="4" t="s">
        <v>263</v>
      </c>
      <c r="C56" s="4" t="s">
        <v>264</v>
      </c>
      <c r="D56" s="4" t="s">
        <v>89</v>
      </c>
      <c r="E56" s="4" t="n">
        <v>4</v>
      </c>
      <c r="F56" s="4" t="s">
        <v>40</v>
      </c>
      <c r="G56" s="4" t="s">
        <v>55</v>
      </c>
      <c r="H56" s="4" t="s">
        <v>265</v>
      </c>
      <c r="I56" s="4" t="s">
        <v>266</v>
      </c>
      <c r="J56" s="4" t="s">
        <v>44</v>
      </c>
    </row>
    <row r="57" customFormat="false" ht="23.25" hidden="false" customHeight="true" outlineLevel="0" collapsed="false">
      <c r="A57" s="4" t="s">
        <v>211</v>
      </c>
      <c r="B57" s="4" t="s">
        <v>267</v>
      </c>
      <c r="C57" s="4" t="s">
        <v>268</v>
      </c>
      <c r="D57" s="4" t="s">
        <v>89</v>
      </c>
      <c r="E57" s="4" t="n">
        <v>4</v>
      </c>
      <c r="F57" s="4" t="s">
        <v>40</v>
      </c>
      <c r="G57" s="4" t="s">
        <v>55</v>
      </c>
      <c r="H57" s="4" t="s">
        <v>269</v>
      </c>
      <c r="I57" s="4" t="s">
        <v>270</v>
      </c>
      <c r="J57" s="4" t="s">
        <v>44</v>
      </c>
    </row>
    <row r="58" customFormat="false" ht="23.25" hidden="false" customHeight="true" outlineLevel="0" collapsed="false">
      <c r="A58" s="4" t="s">
        <v>211</v>
      </c>
      <c r="B58" s="4" t="s">
        <v>271</v>
      </c>
      <c r="C58" s="4" t="s">
        <v>272</v>
      </c>
      <c r="D58" s="4" t="s">
        <v>89</v>
      </c>
      <c r="E58" s="4" t="n">
        <v>4</v>
      </c>
      <c r="F58" s="4" t="s">
        <v>40</v>
      </c>
      <c r="G58" s="4" t="s">
        <v>55</v>
      </c>
      <c r="H58" s="4" t="s">
        <v>273</v>
      </c>
      <c r="I58" s="4" t="s">
        <v>274</v>
      </c>
      <c r="J58" s="4" t="s">
        <v>44</v>
      </c>
    </row>
    <row r="59" customFormat="false" ht="23.25" hidden="false" customHeight="true" outlineLevel="0" collapsed="false">
      <c r="A59" s="4" t="s">
        <v>211</v>
      </c>
      <c r="B59" s="4" t="s">
        <v>275</v>
      </c>
      <c r="C59" s="4" t="s">
        <v>276</v>
      </c>
      <c r="D59" s="4" t="s">
        <v>89</v>
      </c>
      <c r="E59" s="4" t="n">
        <v>4</v>
      </c>
      <c r="F59" s="4" t="s">
        <v>40</v>
      </c>
      <c r="G59" s="4" t="s">
        <v>55</v>
      </c>
      <c r="H59" s="4" t="s">
        <v>277</v>
      </c>
      <c r="I59" s="4" t="s">
        <v>278</v>
      </c>
      <c r="J59" s="4" t="s">
        <v>44</v>
      </c>
    </row>
    <row r="60" customFormat="false" ht="23.25" hidden="false" customHeight="true" outlineLevel="0" collapsed="false">
      <c r="A60" s="4" t="s">
        <v>211</v>
      </c>
      <c r="B60" s="4" t="s">
        <v>279</v>
      </c>
      <c r="C60" s="4" t="s">
        <v>280</v>
      </c>
      <c r="D60" s="4" t="s">
        <v>114</v>
      </c>
      <c r="E60" s="4" t="n">
        <v>4</v>
      </c>
      <c r="F60" s="4" t="s">
        <v>40</v>
      </c>
      <c r="G60" s="4" t="s">
        <v>41</v>
      </c>
      <c r="H60" s="4" t="s">
        <v>281</v>
      </c>
      <c r="I60" s="4" t="s">
        <v>282</v>
      </c>
      <c r="J60" s="4" t="s">
        <v>44</v>
      </c>
    </row>
    <row r="61" customFormat="false" ht="34.5" hidden="false" customHeight="true" outlineLevel="0" collapsed="false">
      <c r="A61" s="4" t="s">
        <v>211</v>
      </c>
      <c r="B61" s="4" t="s">
        <v>283</v>
      </c>
      <c r="C61" s="4" t="s">
        <v>284</v>
      </c>
      <c r="D61" s="4" t="s">
        <v>114</v>
      </c>
      <c r="E61" s="4" t="n">
        <v>4</v>
      </c>
      <c r="F61" s="4" t="s">
        <v>40</v>
      </c>
      <c r="G61" s="4" t="s">
        <v>55</v>
      </c>
      <c r="H61" s="4" t="s">
        <v>285</v>
      </c>
      <c r="I61" s="4" t="s">
        <v>286</v>
      </c>
      <c r="J61" s="4" t="s">
        <v>44</v>
      </c>
    </row>
    <row r="62" customFormat="false" ht="23.25" hidden="false" customHeight="true" outlineLevel="0" collapsed="false">
      <c r="A62" s="4" t="s">
        <v>211</v>
      </c>
      <c r="B62" s="4" t="s">
        <v>287</v>
      </c>
      <c r="C62" s="4" t="s">
        <v>288</v>
      </c>
      <c r="D62" s="4" t="s">
        <v>114</v>
      </c>
      <c r="E62" s="4" t="n">
        <v>4</v>
      </c>
      <c r="F62" s="4" t="s">
        <v>40</v>
      </c>
      <c r="G62" s="4" t="s">
        <v>55</v>
      </c>
      <c r="H62" s="4" t="s">
        <v>289</v>
      </c>
      <c r="I62" s="4" t="s">
        <v>290</v>
      </c>
      <c r="J62" s="4" t="s">
        <v>44</v>
      </c>
    </row>
    <row r="63" customFormat="false" ht="23.25" hidden="false" customHeight="true" outlineLevel="0" collapsed="false">
      <c r="A63" s="4" t="s">
        <v>211</v>
      </c>
      <c r="B63" s="4" t="s">
        <v>291</v>
      </c>
      <c r="C63" s="4" t="s">
        <v>142</v>
      </c>
      <c r="D63" s="4" t="s">
        <v>114</v>
      </c>
      <c r="E63" s="4" t="n">
        <v>4</v>
      </c>
      <c r="F63" s="4" t="s">
        <v>40</v>
      </c>
      <c r="G63" s="4" t="s">
        <v>55</v>
      </c>
      <c r="H63" s="4" t="s">
        <v>292</v>
      </c>
      <c r="I63" s="4" t="s">
        <v>293</v>
      </c>
      <c r="J63" s="4" t="s">
        <v>44</v>
      </c>
    </row>
    <row r="64" customFormat="false" ht="23.25" hidden="false" customHeight="true" outlineLevel="0" collapsed="false">
      <c r="A64" s="4" t="s">
        <v>211</v>
      </c>
      <c r="B64" s="4" t="s">
        <v>294</v>
      </c>
      <c r="C64" s="4" t="s">
        <v>134</v>
      </c>
      <c r="D64" s="4" t="s">
        <v>114</v>
      </c>
      <c r="E64" s="4" t="n">
        <v>4</v>
      </c>
      <c r="F64" s="4" t="s">
        <v>40</v>
      </c>
      <c r="G64" s="4" t="s">
        <v>55</v>
      </c>
      <c r="H64" s="4" t="s">
        <v>295</v>
      </c>
      <c r="I64" s="4" t="s">
        <v>296</v>
      </c>
      <c r="J64" s="4" t="s">
        <v>44</v>
      </c>
    </row>
    <row r="65" customFormat="false" ht="23.25" hidden="false" customHeight="true" outlineLevel="0" collapsed="false">
      <c r="A65" s="4" t="s">
        <v>211</v>
      </c>
      <c r="B65" s="4" t="s">
        <v>297</v>
      </c>
      <c r="C65" s="4" t="s">
        <v>298</v>
      </c>
      <c r="D65" s="4" t="s">
        <v>114</v>
      </c>
      <c r="E65" s="4" t="n">
        <v>4</v>
      </c>
      <c r="F65" s="4" t="s">
        <v>40</v>
      </c>
      <c r="G65" s="4" t="s">
        <v>55</v>
      </c>
      <c r="H65" s="4" t="s">
        <v>299</v>
      </c>
      <c r="I65" s="4" t="s">
        <v>300</v>
      </c>
      <c r="J65" s="4" t="s">
        <v>44</v>
      </c>
    </row>
    <row r="66" customFormat="false" ht="23.25" hidden="false" customHeight="true" outlineLevel="0" collapsed="false">
      <c r="A66" s="4" t="s">
        <v>211</v>
      </c>
      <c r="B66" s="4" t="s">
        <v>301</v>
      </c>
      <c r="C66" s="4" t="s">
        <v>302</v>
      </c>
      <c r="D66" s="4" t="s">
        <v>151</v>
      </c>
      <c r="E66" s="4" t="n">
        <v>5</v>
      </c>
      <c r="F66" s="4" t="s">
        <v>40</v>
      </c>
      <c r="G66" s="4" t="s">
        <v>41</v>
      </c>
      <c r="H66" s="4" t="s">
        <v>303</v>
      </c>
      <c r="I66" s="4" t="s">
        <v>304</v>
      </c>
      <c r="J66" s="4" t="s">
        <v>44</v>
      </c>
    </row>
    <row r="67" customFormat="false" ht="15" hidden="false" customHeight="true" outlineLevel="0" collapsed="false">
      <c r="A67" s="4" t="s">
        <v>211</v>
      </c>
      <c r="B67" s="4" t="s">
        <v>305</v>
      </c>
      <c r="C67" s="4" t="s">
        <v>306</v>
      </c>
      <c r="D67" s="4" t="s">
        <v>151</v>
      </c>
      <c r="E67" s="4" t="n">
        <v>4</v>
      </c>
      <c r="F67" s="4" t="s">
        <v>40</v>
      </c>
      <c r="G67" s="4" t="s">
        <v>41</v>
      </c>
      <c r="H67" s="4" t="s">
        <v>307</v>
      </c>
      <c r="I67" s="4" t="s">
        <v>308</v>
      </c>
      <c r="J67" s="4" t="s">
        <v>44</v>
      </c>
    </row>
    <row r="68" customFormat="false" ht="23.25" hidden="false" customHeight="true" outlineLevel="0" collapsed="false">
      <c r="A68" s="4" t="s">
        <v>211</v>
      </c>
      <c r="B68" s="4" t="s">
        <v>309</v>
      </c>
      <c r="C68" s="4" t="s">
        <v>310</v>
      </c>
      <c r="D68" s="4" t="s">
        <v>151</v>
      </c>
      <c r="E68" s="4" t="n">
        <v>4</v>
      </c>
      <c r="F68" s="4" t="s">
        <v>40</v>
      </c>
      <c r="G68" s="4" t="s">
        <v>55</v>
      </c>
      <c r="H68" s="4" t="s">
        <v>311</v>
      </c>
      <c r="I68" s="4" t="s">
        <v>312</v>
      </c>
      <c r="J68" s="4" t="s">
        <v>44</v>
      </c>
    </row>
    <row r="69" customFormat="false" ht="23.25" hidden="false" customHeight="true" outlineLevel="0" collapsed="false">
      <c r="A69" s="4" t="s">
        <v>211</v>
      </c>
      <c r="B69" s="4" t="s">
        <v>313</v>
      </c>
      <c r="C69" s="4" t="s">
        <v>314</v>
      </c>
      <c r="D69" s="4" t="s">
        <v>151</v>
      </c>
      <c r="E69" s="4" t="n">
        <v>5</v>
      </c>
      <c r="F69" s="4" t="s">
        <v>40</v>
      </c>
      <c r="G69" s="4" t="s">
        <v>55</v>
      </c>
      <c r="H69" s="4" t="s">
        <v>315</v>
      </c>
      <c r="I69" s="4" t="s">
        <v>316</v>
      </c>
      <c r="J69" s="4" t="s">
        <v>44</v>
      </c>
    </row>
    <row r="70" customFormat="false" ht="15" hidden="false" customHeight="true" outlineLevel="0" collapsed="false">
      <c r="A70" s="4" t="s">
        <v>211</v>
      </c>
      <c r="B70" s="4" t="s">
        <v>317</v>
      </c>
      <c r="C70" s="4" t="s">
        <v>318</v>
      </c>
      <c r="D70" s="4" t="s">
        <v>151</v>
      </c>
      <c r="E70" s="4" t="n">
        <v>5</v>
      </c>
      <c r="F70" s="4" t="s">
        <v>40</v>
      </c>
      <c r="G70" s="4" t="s">
        <v>60</v>
      </c>
      <c r="H70" s="4" t="s">
        <v>319</v>
      </c>
      <c r="I70" s="4" t="s">
        <v>320</v>
      </c>
      <c r="J70" s="4" t="s">
        <v>44</v>
      </c>
    </row>
    <row r="71" customFormat="false" ht="34.5" hidden="false" customHeight="true" outlineLevel="0" collapsed="false">
      <c r="A71" s="4" t="s">
        <v>211</v>
      </c>
      <c r="B71" s="4" t="s">
        <v>321</v>
      </c>
      <c r="C71" s="4" t="s">
        <v>322</v>
      </c>
      <c r="D71" s="4" t="s">
        <v>151</v>
      </c>
      <c r="E71" s="4" t="n">
        <v>5</v>
      </c>
      <c r="F71" s="4" t="s">
        <v>40</v>
      </c>
      <c r="G71" s="4" t="s">
        <v>41</v>
      </c>
      <c r="H71" s="4" t="s">
        <v>323</v>
      </c>
      <c r="I71" s="4" t="s">
        <v>324</v>
      </c>
      <c r="J71" s="4" t="s">
        <v>44</v>
      </c>
    </row>
    <row r="72" customFormat="false" ht="15" hidden="false" customHeight="true" outlineLevel="0" collapsed="false">
      <c r="A72" s="4" t="s">
        <v>211</v>
      </c>
      <c r="B72" s="4" t="s">
        <v>325</v>
      </c>
      <c r="C72" s="4" t="s">
        <v>175</v>
      </c>
      <c r="D72" s="4" t="s">
        <v>151</v>
      </c>
      <c r="E72" s="4" t="n">
        <v>5</v>
      </c>
      <c r="F72" s="4" t="s">
        <v>40</v>
      </c>
      <c r="G72" s="4" t="s">
        <v>55</v>
      </c>
      <c r="H72" s="4" t="s">
        <v>326</v>
      </c>
      <c r="I72" s="4" t="s">
        <v>327</v>
      </c>
      <c r="J72" s="4" t="s">
        <v>44</v>
      </c>
    </row>
    <row r="73" customFormat="false" ht="23.25" hidden="false" customHeight="true" outlineLevel="0" collapsed="false">
      <c r="A73" s="4" t="s">
        <v>211</v>
      </c>
      <c r="B73" s="4" t="s">
        <v>328</v>
      </c>
      <c r="C73" s="4" t="s">
        <v>179</v>
      </c>
      <c r="D73" s="4" t="s">
        <v>151</v>
      </c>
      <c r="E73" s="4" t="n">
        <v>5</v>
      </c>
      <c r="F73" s="4" t="s">
        <v>40</v>
      </c>
      <c r="G73" s="4" t="s">
        <v>55</v>
      </c>
      <c r="H73" s="4" t="s">
        <v>329</v>
      </c>
      <c r="I73" s="4" t="s">
        <v>330</v>
      </c>
      <c r="J73" s="4" t="s">
        <v>44</v>
      </c>
    </row>
    <row r="74" customFormat="false" ht="23.25" hidden="false" customHeight="true" outlineLevel="0" collapsed="false">
      <c r="A74" s="4" t="s">
        <v>211</v>
      </c>
      <c r="B74" s="4" t="s">
        <v>331</v>
      </c>
      <c r="C74" s="4" t="s">
        <v>332</v>
      </c>
      <c r="D74" s="4" t="s">
        <v>184</v>
      </c>
      <c r="E74" s="4" t="n">
        <v>4</v>
      </c>
      <c r="F74" s="4" t="s">
        <v>40</v>
      </c>
      <c r="G74" s="4" t="s">
        <v>41</v>
      </c>
      <c r="H74" s="4" t="s">
        <v>333</v>
      </c>
      <c r="I74" s="4" t="s">
        <v>334</v>
      </c>
      <c r="J74" s="4" t="s">
        <v>44</v>
      </c>
    </row>
    <row r="75" customFormat="false" ht="15" hidden="false" customHeight="true" outlineLevel="0" collapsed="false">
      <c r="A75" s="4" t="s">
        <v>211</v>
      </c>
      <c r="B75" s="4" t="s">
        <v>335</v>
      </c>
      <c r="C75" s="4" t="s">
        <v>336</v>
      </c>
      <c r="D75" s="4" t="s">
        <v>184</v>
      </c>
      <c r="E75" s="4" t="n">
        <v>4</v>
      </c>
      <c r="F75" s="4" t="s">
        <v>40</v>
      </c>
      <c r="G75" s="4" t="s">
        <v>41</v>
      </c>
      <c r="H75" s="4" t="s">
        <v>337</v>
      </c>
      <c r="I75" s="4" t="s">
        <v>338</v>
      </c>
      <c r="J75" s="4" t="s">
        <v>44</v>
      </c>
    </row>
    <row r="76" customFormat="false" ht="15" hidden="false" customHeight="true" outlineLevel="0" collapsed="false">
      <c r="A76" s="4" t="s">
        <v>211</v>
      </c>
      <c r="B76" s="4" t="s">
        <v>339</v>
      </c>
      <c r="C76" s="4" t="s">
        <v>340</v>
      </c>
      <c r="D76" s="4" t="s">
        <v>184</v>
      </c>
      <c r="E76" s="4" t="n">
        <v>4</v>
      </c>
      <c r="F76" s="4" t="s">
        <v>40</v>
      </c>
      <c r="G76" s="4" t="s">
        <v>55</v>
      </c>
      <c r="H76" s="4" t="s">
        <v>341</v>
      </c>
      <c r="I76" s="4" t="s">
        <v>342</v>
      </c>
      <c r="J76" s="4" t="s">
        <v>44</v>
      </c>
    </row>
    <row r="77" customFormat="false" ht="23.25" hidden="false" customHeight="true" outlineLevel="0" collapsed="false">
      <c r="A77" s="4" t="s">
        <v>211</v>
      </c>
      <c r="B77" s="4" t="s">
        <v>343</v>
      </c>
      <c r="C77" s="4" t="s">
        <v>196</v>
      </c>
      <c r="D77" s="4" t="s">
        <v>184</v>
      </c>
      <c r="E77" s="4" t="n">
        <v>4</v>
      </c>
      <c r="F77" s="4" t="s">
        <v>40</v>
      </c>
      <c r="G77" s="4" t="s">
        <v>55</v>
      </c>
      <c r="H77" s="4" t="s">
        <v>344</v>
      </c>
      <c r="I77" s="4" t="s">
        <v>345</v>
      </c>
      <c r="J77" s="4" t="s">
        <v>44</v>
      </c>
    </row>
    <row r="78" customFormat="false" ht="23.25" hidden="false" customHeight="true" outlineLevel="0" collapsed="false">
      <c r="A78" s="4" t="s">
        <v>211</v>
      </c>
      <c r="B78" s="4" t="s">
        <v>346</v>
      </c>
      <c r="C78" s="4" t="s">
        <v>347</v>
      </c>
      <c r="D78" s="4" t="s">
        <v>184</v>
      </c>
      <c r="E78" s="4" t="n">
        <v>4</v>
      </c>
      <c r="F78" s="4" t="s">
        <v>40</v>
      </c>
      <c r="G78" s="4" t="s">
        <v>55</v>
      </c>
      <c r="H78" s="4" t="s">
        <v>348</v>
      </c>
      <c r="I78" s="4" t="s">
        <v>349</v>
      </c>
      <c r="J78" s="4" t="s">
        <v>44</v>
      </c>
    </row>
    <row r="79" customFormat="false" ht="23.25" hidden="false" customHeight="true" outlineLevel="0" collapsed="false">
      <c r="A79" s="4" t="s">
        <v>211</v>
      </c>
      <c r="B79" s="4" t="s">
        <v>350</v>
      </c>
      <c r="C79" s="4" t="s">
        <v>351</v>
      </c>
      <c r="D79" s="4" t="s">
        <v>184</v>
      </c>
      <c r="E79" s="4" t="n">
        <v>4</v>
      </c>
      <c r="F79" s="4" t="s">
        <v>40</v>
      </c>
      <c r="G79" s="4" t="s">
        <v>41</v>
      </c>
      <c r="H79" s="4" t="s">
        <v>352</v>
      </c>
      <c r="I79" s="4" t="s">
        <v>353</v>
      </c>
      <c r="J79" s="4" t="s">
        <v>44</v>
      </c>
    </row>
    <row r="80" customFormat="false" ht="23.25" hidden="false" customHeight="true" outlineLevel="0" collapsed="false">
      <c r="A80" s="4" t="s">
        <v>211</v>
      </c>
      <c r="B80" s="4" t="s">
        <v>354</v>
      </c>
      <c r="C80" s="4" t="s">
        <v>355</v>
      </c>
      <c r="D80" s="4" t="s">
        <v>184</v>
      </c>
      <c r="E80" s="4" t="n">
        <v>4</v>
      </c>
      <c r="F80" s="4" t="s">
        <v>40</v>
      </c>
      <c r="G80" s="4" t="s">
        <v>55</v>
      </c>
      <c r="H80" s="4" t="s">
        <v>356</v>
      </c>
      <c r="I80" s="4" t="s">
        <v>357</v>
      </c>
      <c r="J80" s="4" t="s">
        <v>44</v>
      </c>
    </row>
    <row r="81" customFormat="false" ht="23.25" hidden="false" customHeight="true" outlineLevel="0" collapsed="false">
      <c r="A81" s="4" t="s">
        <v>358</v>
      </c>
      <c r="B81" s="4" t="s">
        <v>359</v>
      </c>
      <c r="C81" s="4" t="s">
        <v>360</v>
      </c>
      <c r="D81" s="4" t="s">
        <v>39</v>
      </c>
      <c r="E81" s="4" t="n">
        <v>4</v>
      </c>
      <c r="F81" s="4" t="s">
        <v>40</v>
      </c>
      <c r="G81" s="4" t="s">
        <v>41</v>
      </c>
      <c r="H81" s="4" t="s">
        <v>361</v>
      </c>
      <c r="I81" s="4" t="s">
        <v>362</v>
      </c>
      <c r="J81" s="4" t="s">
        <v>44</v>
      </c>
    </row>
    <row r="82" customFormat="false" ht="23.25" hidden="false" customHeight="true" outlineLevel="0" collapsed="false">
      <c r="A82" s="4" t="s">
        <v>358</v>
      </c>
      <c r="B82" s="4" t="s">
        <v>363</v>
      </c>
      <c r="C82" s="4" t="s">
        <v>364</v>
      </c>
      <c r="D82" s="4" t="s">
        <v>39</v>
      </c>
      <c r="E82" s="4" t="n">
        <v>4</v>
      </c>
      <c r="F82" s="4" t="s">
        <v>40</v>
      </c>
      <c r="G82" s="4" t="s">
        <v>41</v>
      </c>
      <c r="H82" s="4" t="s">
        <v>365</v>
      </c>
      <c r="I82" s="4" t="s">
        <v>366</v>
      </c>
      <c r="J82" s="4" t="s">
        <v>44</v>
      </c>
    </row>
    <row r="83" customFormat="false" ht="23.25" hidden="false" customHeight="true" outlineLevel="0" collapsed="false">
      <c r="A83" s="4" t="s">
        <v>358</v>
      </c>
      <c r="B83" s="4" t="s">
        <v>367</v>
      </c>
      <c r="C83" s="4" t="s">
        <v>368</v>
      </c>
      <c r="D83" s="4" t="s">
        <v>39</v>
      </c>
      <c r="E83" s="4" t="n">
        <v>4</v>
      </c>
      <c r="F83" s="4" t="s">
        <v>40</v>
      </c>
      <c r="G83" s="4" t="s">
        <v>55</v>
      </c>
      <c r="H83" s="4" t="s">
        <v>369</v>
      </c>
      <c r="I83" s="4" t="s">
        <v>370</v>
      </c>
      <c r="J83" s="4" t="s">
        <v>44</v>
      </c>
    </row>
    <row r="84" customFormat="false" ht="23.25" hidden="false" customHeight="true" outlineLevel="0" collapsed="false">
      <c r="A84" s="4" t="s">
        <v>358</v>
      </c>
      <c r="B84" s="4" t="s">
        <v>371</v>
      </c>
      <c r="C84" s="4" t="s">
        <v>372</v>
      </c>
      <c r="D84" s="4" t="s">
        <v>39</v>
      </c>
      <c r="E84" s="4" t="n">
        <v>4</v>
      </c>
      <c r="F84" s="4" t="s">
        <v>40</v>
      </c>
      <c r="G84" s="4" t="s">
        <v>60</v>
      </c>
      <c r="H84" s="4" t="s">
        <v>373</v>
      </c>
      <c r="I84" s="4" t="s">
        <v>374</v>
      </c>
      <c r="J84" s="4" t="s">
        <v>44</v>
      </c>
    </row>
    <row r="85" customFormat="false" ht="23.25" hidden="false" customHeight="true" outlineLevel="0" collapsed="false">
      <c r="A85" s="4" t="s">
        <v>358</v>
      </c>
      <c r="B85" s="4" t="s">
        <v>375</v>
      </c>
      <c r="C85" s="4" t="s">
        <v>376</v>
      </c>
      <c r="D85" s="4" t="s">
        <v>39</v>
      </c>
      <c r="E85" s="4" t="n">
        <v>4</v>
      </c>
      <c r="F85" s="4" t="s">
        <v>40</v>
      </c>
      <c r="G85" s="4" t="s">
        <v>60</v>
      </c>
      <c r="H85" s="4" t="s">
        <v>377</v>
      </c>
      <c r="I85" s="4" t="s">
        <v>378</v>
      </c>
      <c r="J85" s="4" t="s">
        <v>44</v>
      </c>
    </row>
    <row r="86" customFormat="false" ht="23.25" hidden="false" customHeight="true" outlineLevel="0" collapsed="false">
      <c r="A86" s="4" t="s">
        <v>358</v>
      </c>
      <c r="B86" s="4" t="s">
        <v>379</v>
      </c>
      <c r="C86" s="4" t="s">
        <v>240</v>
      </c>
      <c r="D86" s="4" t="s">
        <v>39</v>
      </c>
      <c r="E86" s="4" t="n">
        <v>4</v>
      </c>
      <c r="F86" s="4" t="s">
        <v>40</v>
      </c>
      <c r="G86" s="4" t="s">
        <v>60</v>
      </c>
      <c r="H86" s="4" t="s">
        <v>380</v>
      </c>
      <c r="I86" s="4" t="s">
        <v>381</v>
      </c>
      <c r="J86" s="4" t="s">
        <v>44</v>
      </c>
    </row>
    <row r="87" customFormat="false" ht="15" hidden="false" customHeight="true" outlineLevel="0" collapsed="false">
      <c r="A87" s="4" t="s">
        <v>358</v>
      </c>
      <c r="B87" s="4" t="s">
        <v>382</v>
      </c>
      <c r="C87" s="4" t="s">
        <v>204</v>
      </c>
      <c r="D87" s="4" t="s">
        <v>39</v>
      </c>
      <c r="E87" s="4" t="n">
        <v>4</v>
      </c>
      <c r="F87" s="4" t="s">
        <v>40</v>
      </c>
      <c r="G87" s="4" t="s">
        <v>41</v>
      </c>
      <c r="H87" s="4" t="s">
        <v>383</v>
      </c>
      <c r="I87" s="4" t="s">
        <v>384</v>
      </c>
      <c r="J87" s="4" t="s">
        <v>44</v>
      </c>
    </row>
    <row r="88" customFormat="false" ht="23.25" hidden="false" customHeight="true" outlineLevel="0" collapsed="false">
      <c r="A88" s="4" t="s">
        <v>358</v>
      </c>
      <c r="B88" s="4" t="s">
        <v>385</v>
      </c>
      <c r="C88" s="4" t="s">
        <v>386</v>
      </c>
      <c r="D88" s="4" t="s">
        <v>89</v>
      </c>
      <c r="E88" s="4" t="n">
        <v>4</v>
      </c>
      <c r="F88" s="4" t="s">
        <v>40</v>
      </c>
      <c r="G88" s="4" t="s">
        <v>41</v>
      </c>
      <c r="H88" s="4" t="s">
        <v>387</v>
      </c>
      <c r="I88" s="4" t="s">
        <v>388</v>
      </c>
      <c r="J88" s="4" t="s">
        <v>44</v>
      </c>
    </row>
    <row r="89" customFormat="false" ht="15" hidden="false" customHeight="true" outlineLevel="0" collapsed="false">
      <c r="A89" s="4" t="s">
        <v>358</v>
      </c>
      <c r="B89" s="4" t="s">
        <v>389</v>
      </c>
      <c r="C89" s="4" t="s">
        <v>390</v>
      </c>
      <c r="D89" s="4" t="s">
        <v>89</v>
      </c>
      <c r="E89" s="4" t="n">
        <v>4</v>
      </c>
      <c r="F89" s="4" t="s">
        <v>40</v>
      </c>
      <c r="G89" s="4" t="s">
        <v>41</v>
      </c>
      <c r="H89" s="4" t="s">
        <v>391</v>
      </c>
      <c r="I89" s="4" t="s">
        <v>392</v>
      </c>
      <c r="J89" s="4" t="s">
        <v>44</v>
      </c>
    </row>
    <row r="90" customFormat="false" ht="23.25" hidden="false" customHeight="true" outlineLevel="0" collapsed="false">
      <c r="A90" s="4" t="s">
        <v>358</v>
      </c>
      <c r="B90" s="4" t="s">
        <v>393</v>
      </c>
      <c r="C90" s="4" t="s">
        <v>394</v>
      </c>
      <c r="D90" s="4" t="s">
        <v>89</v>
      </c>
      <c r="E90" s="4" t="n">
        <v>4</v>
      </c>
      <c r="F90" s="4" t="s">
        <v>40</v>
      </c>
      <c r="G90" s="4" t="s">
        <v>55</v>
      </c>
      <c r="H90" s="4" t="s">
        <v>395</v>
      </c>
      <c r="I90" s="4" t="s">
        <v>396</v>
      </c>
      <c r="J90" s="4" t="s">
        <v>44</v>
      </c>
    </row>
    <row r="91" customFormat="false" ht="23.25" hidden="false" customHeight="true" outlineLevel="0" collapsed="false">
      <c r="A91" s="4" t="s">
        <v>358</v>
      </c>
      <c r="B91" s="4" t="s">
        <v>397</v>
      </c>
      <c r="C91" s="4" t="s">
        <v>398</v>
      </c>
      <c r="D91" s="4" t="s">
        <v>89</v>
      </c>
      <c r="E91" s="4" t="n">
        <v>4</v>
      </c>
      <c r="F91" s="4" t="s">
        <v>40</v>
      </c>
      <c r="G91" s="4" t="s">
        <v>55</v>
      </c>
      <c r="H91" s="4" t="s">
        <v>399</v>
      </c>
      <c r="I91" s="4" t="s">
        <v>400</v>
      </c>
      <c r="J91" s="4" t="s">
        <v>44</v>
      </c>
    </row>
    <row r="92" customFormat="false" ht="23.25" hidden="false" customHeight="true" outlineLevel="0" collapsed="false">
      <c r="A92" s="4" t="s">
        <v>358</v>
      </c>
      <c r="B92" s="4" t="s">
        <v>401</v>
      </c>
      <c r="C92" s="4" t="s">
        <v>402</v>
      </c>
      <c r="D92" s="4" t="s">
        <v>89</v>
      </c>
      <c r="E92" s="4" t="n">
        <v>4</v>
      </c>
      <c r="F92" s="4" t="s">
        <v>40</v>
      </c>
      <c r="G92" s="4" t="s">
        <v>55</v>
      </c>
      <c r="H92" s="4" t="s">
        <v>403</v>
      </c>
      <c r="I92" s="4" t="s">
        <v>404</v>
      </c>
      <c r="J92" s="4" t="s">
        <v>44</v>
      </c>
    </row>
    <row r="93" customFormat="false" ht="23.25" hidden="false" customHeight="true" outlineLevel="0" collapsed="false">
      <c r="A93" s="4" t="s">
        <v>358</v>
      </c>
      <c r="B93" s="4" t="s">
        <v>405</v>
      </c>
      <c r="C93" s="4" t="s">
        <v>406</v>
      </c>
      <c r="D93" s="4" t="s">
        <v>89</v>
      </c>
      <c r="E93" s="4" t="n">
        <v>4</v>
      </c>
      <c r="F93" s="4" t="s">
        <v>40</v>
      </c>
      <c r="G93" s="4" t="s">
        <v>55</v>
      </c>
      <c r="H93" s="4" t="s">
        <v>407</v>
      </c>
      <c r="I93" s="4" t="s">
        <v>408</v>
      </c>
      <c r="J93" s="4" t="s">
        <v>44</v>
      </c>
    </row>
    <row r="94" customFormat="false" ht="23.25" hidden="false" customHeight="true" outlineLevel="0" collapsed="false">
      <c r="A94" s="4" t="s">
        <v>358</v>
      </c>
      <c r="B94" s="4" t="s">
        <v>409</v>
      </c>
      <c r="C94" s="4" t="s">
        <v>410</v>
      </c>
      <c r="D94" s="4" t="s">
        <v>114</v>
      </c>
      <c r="E94" s="4" t="n">
        <v>4</v>
      </c>
      <c r="F94" s="4" t="s">
        <v>40</v>
      </c>
      <c r="G94" s="4" t="s">
        <v>41</v>
      </c>
      <c r="H94" s="4" t="s">
        <v>411</v>
      </c>
      <c r="I94" s="4" t="s">
        <v>412</v>
      </c>
      <c r="J94" s="4" t="s">
        <v>44</v>
      </c>
    </row>
    <row r="95" customFormat="false" ht="23.25" hidden="false" customHeight="true" outlineLevel="0" collapsed="false">
      <c r="A95" s="4" t="s">
        <v>358</v>
      </c>
      <c r="B95" s="4" t="s">
        <v>413</v>
      </c>
      <c r="C95" s="4" t="s">
        <v>414</v>
      </c>
      <c r="D95" s="4" t="s">
        <v>114</v>
      </c>
      <c r="E95" s="4" t="n">
        <v>4</v>
      </c>
      <c r="F95" s="4" t="s">
        <v>40</v>
      </c>
      <c r="G95" s="4" t="s">
        <v>55</v>
      </c>
      <c r="H95" s="4" t="s">
        <v>415</v>
      </c>
      <c r="I95" s="4" t="s">
        <v>416</v>
      </c>
      <c r="J95" s="4" t="s">
        <v>44</v>
      </c>
    </row>
    <row r="96" customFormat="false" ht="23.25" hidden="false" customHeight="true" outlineLevel="0" collapsed="false">
      <c r="A96" s="4" t="s">
        <v>358</v>
      </c>
      <c r="B96" s="4" t="s">
        <v>417</v>
      </c>
      <c r="C96" s="4" t="s">
        <v>418</v>
      </c>
      <c r="D96" s="4" t="s">
        <v>114</v>
      </c>
      <c r="E96" s="4" t="n">
        <v>4</v>
      </c>
      <c r="F96" s="4" t="s">
        <v>40</v>
      </c>
      <c r="G96" s="4" t="s">
        <v>55</v>
      </c>
      <c r="H96" s="4" t="s">
        <v>419</v>
      </c>
      <c r="I96" s="4" t="s">
        <v>420</v>
      </c>
      <c r="J96" s="4" t="s">
        <v>44</v>
      </c>
    </row>
    <row r="97" customFormat="false" ht="23.25" hidden="false" customHeight="true" outlineLevel="0" collapsed="false">
      <c r="A97" s="4" t="s">
        <v>358</v>
      </c>
      <c r="B97" s="4" t="s">
        <v>421</v>
      </c>
      <c r="C97" s="4" t="s">
        <v>422</v>
      </c>
      <c r="D97" s="4" t="s">
        <v>114</v>
      </c>
      <c r="E97" s="4" t="n">
        <v>4</v>
      </c>
      <c r="F97" s="4" t="s">
        <v>40</v>
      </c>
      <c r="G97" s="4" t="s">
        <v>55</v>
      </c>
      <c r="H97" s="4" t="s">
        <v>423</v>
      </c>
      <c r="I97" s="4" t="s">
        <v>424</v>
      </c>
      <c r="J97" s="4" t="s">
        <v>44</v>
      </c>
    </row>
    <row r="98" customFormat="false" ht="23.25" hidden="false" customHeight="true" outlineLevel="0" collapsed="false">
      <c r="A98" s="4" t="s">
        <v>358</v>
      </c>
      <c r="B98" s="4" t="s">
        <v>425</v>
      </c>
      <c r="C98" s="4" t="s">
        <v>426</v>
      </c>
      <c r="D98" s="4" t="s">
        <v>114</v>
      </c>
      <c r="E98" s="4" t="n">
        <v>4</v>
      </c>
      <c r="F98" s="4" t="s">
        <v>40</v>
      </c>
      <c r="G98" s="4" t="s">
        <v>55</v>
      </c>
      <c r="H98" s="4" t="s">
        <v>427</v>
      </c>
      <c r="I98" s="4" t="s">
        <v>428</v>
      </c>
      <c r="J98" s="4" t="s">
        <v>44</v>
      </c>
    </row>
    <row r="99" customFormat="false" ht="15" hidden="false" customHeight="true" outlineLevel="0" collapsed="false">
      <c r="A99" s="4" t="s">
        <v>358</v>
      </c>
      <c r="B99" s="4" t="s">
        <v>429</v>
      </c>
      <c r="C99" s="4" t="s">
        <v>430</v>
      </c>
      <c r="D99" s="4" t="s">
        <v>114</v>
      </c>
      <c r="E99" s="4" t="n">
        <v>4</v>
      </c>
      <c r="F99" s="4" t="s">
        <v>40</v>
      </c>
      <c r="G99" s="4" t="s">
        <v>55</v>
      </c>
      <c r="H99" s="4" t="s">
        <v>431</v>
      </c>
      <c r="I99" s="4" t="s">
        <v>432</v>
      </c>
      <c r="J99" s="4" t="s">
        <v>44</v>
      </c>
    </row>
    <row r="100" customFormat="false" ht="15" hidden="false" customHeight="true" outlineLevel="0" collapsed="false">
      <c r="A100" s="4" t="s">
        <v>358</v>
      </c>
      <c r="B100" s="4" t="s">
        <v>433</v>
      </c>
      <c r="C100" s="4" t="s">
        <v>434</v>
      </c>
      <c r="D100" s="4" t="s">
        <v>114</v>
      </c>
      <c r="E100" s="4" t="n">
        <v>4</v>
      </c>
      <c r="F100" s="4" t="s">
        <v>40</v>
      </c>
      <c r="G100" s="4" t="s">
        <v>55</v>
      </c>
      <c r="H100" s="4" t="s">
        <v>435</v>
      </c>
      <c r="I100" s="4" t="s">
        <v>436</v>
      </c>
      <c r="J100" s="4" t="s">
        <v>44</v>
      </c>
    </row>
    <row r="101" customFormat="false" ht="15" hidden="false" customHeight="true" outlineLevel="0" collapsed="false">
      <c r="A101" s="4" t="s">
        <v>358</v>
      </c>
      <c r="B101" s="4" t="s">
        <v>437</v>
      </c>
      <c r="C101" s="4" t="s">
        <v>142</v>
      </c>
      <c r="D101" s="4" t="s">
        <v>114</v>
      </c>
      <c r="E101" s="4" t="n">
        <v>4</v>
      </c>
      <c r="F101" s="4" t="s">
        <v>40</v>
      </c>
      <c r="G101" s="4" t="s">
        <v>55</v>
      </c>
      <c r="H101" s="4" t="s">
        <v>438</v>
      </c>
      <c r="I101" s="4" t="s">
        <v>439</v>
      </c>
      <c r="J101" s="4" t="s">
        <v>44</v>
      </c>
    </row>
    <row r="102" customFormat="false" ht="23.25" hidden="false" customHeight="true" outlineLevel="0" collapsed="false">
      <c r="A102" s="4" t="s">
        <v>358</v>
      </c>
      <c r="B102" s="4" t="s">
        <v>440</v>
      </c>
      <c r="C102" s="4" t="s">
        <v>134</v>
      </c>
      <c r="D102" s="4" t="s">
        <v>114</v>
      </c>
      <c r="E102" s="4" t="n">
        <v>4</v>
      </c>
      <c r="F102" s="4" t="s">
        <v>40</v>
      </c>
      <c r="G102" s="4" t="s">
        <v>55</v>
      </c>
      <c r="H102" s="4" t="s">
        <v>441</v>
      </c>
      <c r="I102" s="4" t="s">
        <v>442</v>
      </c>
      <c r="J102" s="4" t="s">
        <v>44</v>
      </c>
    </row>
    <row r="103" customFormat="false" ht="15" hidden="false" customHeight="true" outlineLevel="0" collapsed="false">
      <c r="A103" s="4" t="s">
        <v>358</v>
      </c>
      <c r="B103" s="4" t="s">
        <v>443</v>
      </c>
      <c r="C103" s="4" t="s">
        <v>444</v>
      </c>
      <c r="D103" s="4" t="s">
        <v>114</v>
      </c>
      <c r="E103" s="4" t="n">
        <v>4</v>
      </c>
      <c r="F103" s="4" t="s">
        <v>40</v>
      </c>
      <c r="G103" s="4" t="s">
        <v>55</v>
      </c>
      <c r="H103" s="4" t="s">
        <v>445</v>
      </c>
      <c r="I103" s="4" t="s">
        <v>446</v>
      </c>
      <c r="J103" s="4" t="s">
        <v>44</v>
      </c>
    </row>
    <row r="104" customFormat="false" ht="15" hidden="false" customHeight="true" outlineLevel="0" collapsed="false">
      <c r="A104" s="4" t="s">
        <v>358</v>
      </c>
      <c r="B104" s="4" t="s">
        <v>447</v>
      </c>
      <c r="C104" s="4" t="s">
        <v>448</v>
      </c>
      <c r="D104" s="4" t="s">
        <v>151</v>
      </c>
      <c r="E104" s="4" t="n">
        <v>4</v>
      </c>
      <c r="F104" s="4" t="s">
        <v>40</v>
      </c>
      <c r="G104" s="4" t="s">
        <v>41</v>
      </c>
      <c r="H104" s="4" t="s">
        <v>449</v>
      </c>
      <c r="I104" s="4" t="s">
        <v>450</v>
      </c>
      <c r="J104" s="4" t="s">
        <v>44</v>
      </c>
    </row>
    <row r="105" customFormat="false" ht="15" hidden="false" customHeight="true" outlineLevel="0" collapsed="false">
      <c r="A105" s="4" t="s">
        <v>358</v>
      </c>
      <c r="B105" s="4" t="s">
        <v>451</v>
      </c>
      <c r="C105" s="4" t="s">
        <v>452</v>
      </c>
      <c r="D105" s="4" t="s">
        <v>151</v>
      </c>
      <c r="E105" s="4" t="n">
        <v>4</v>
      </c>
      <c r="F105" s="4" t="s">
        <v>40</v>
      </c>
      <c r="G105" s="4" t="s">
        <v>41</v>
      </c>
      <c r="H105" s="4" t="s">
        <v>453</v>
      </c>
      <c r="I105" s="4" t="s">
        <v>454</v>
      </c>
      <c r="J105" s="4" t="s">
        <v>44</v>
      </c>
    </row>
    <row r="106" customFormat="false" ht="23.25" hidden="false" customHeight="true" outlineLevel="0" collapsed="false">
      <c r="A106" s="4" t="s">
        <v>358</v>
      </c>
      <c r="B106" s="4" t="s">
        <v>455</v>
      </c>
      <c r="C106" s="4" t="s">
        <v>456</v>
      </c>
      <c r="D106" s="4" t="s">
        <v>151</v>
      </c>
      <c r="E106" s="4" t="n">
        <v>4</v>
      </c>
      <c r="F106" s="4" t="s">
        <v>40</v>
      </c>
      <c r="G106" s="4" t="s">
        <v>55</v>
      </c>
      <c r="H106" s="4" t="s">
        <v>457</v>
      </c>
      <c r="I106" s="4" t="s">
        <v>458</v>
      </c>
      <c r="J106" s="4" t="s">
        <v>44</v>
      </c>
    </row>
    <row r="107" customFormat="false" ht="15" hidden="false" customHeight="true" outlineLevel="0" collapsed="false">
      <c r="A107" s="4" t="s">
        <v>358</v>
      </c>
      <c r="B107" s="4" t="s">
        <v>459</v>
      </c>
      <c r="C107" s="4" t="s">
        <v>163</v>
      </c>
      <c r="D107" s="4" t="s">
        <v>151</v>
      </c>
      <c r="E107" s="4" t="n">
        <v>4</v>
      </c>
      <c r="F107" s="4" t="s">
        <v>40</v>
      </c>
      <c r="G107" s="4" t="s">
        <v>55</v>
      </c>
      <c r="H107" s="4" t="s">
        <v>460</v>
      </c>
      <c r="I107" s="4" t="s">
        <v>461</v>
      </c>
      <c r="J107" s="4" t="s">
        <v>44</v>
      </c>
    </row>
    <row r="108" customFormat="false" ht="23.25" hidden="false" customHeight="true" outlineLevel="0" collapsed="false">
      <c r="A108" s="4" t="s">
        <v>358</v>
      </c>
      <c r="B108" s="4" t="s">
        <v>462</v>
      </c>
      <c r="C108" s="4" t="s">
        <v>463</v>
      </c>
      <c r="D108" s="4" t="s">
        <v>151</v>
      </c>
      <c r="E108" s="4" t="n">
        <v>5</v>
      </c>
      <c r="F108" s="4" t="s">
        <v>40</v>
      </c>
      <c r="G108" s="4" t="s">
        <v>41</v>
      </c>
      <c r="H108" s="4" t="s">
        <v>464</v>
      </c>
      <c r="I108" s="4" t="s">
        <v>465</v>
      </c>
      <c r="J108" s="4" t="s">
        <v>44</v>
      </c>
    </row>
    <row r="109" customFormat="false" ht="23.25" hidden="false" customHeight="true" outlineLevel="0" collapsed="false">
      <c r="A109" s="4" t="s">
        <v>358</v>
      </c>
      <c r="B109" s="4" t="s">
        <v>466</v>
      </c>
      <c r="C109" s="4" t="s">
        <v>467</v>
      </c>
      <c r="D109" s="4" t="s">
        <v>151</v>
      </c>
      <c r="E109" s="4" t="n">
        <v>5</v>
      </c>
      <c r="F109" s="4" t="s">
        <v>40</v>
      </c>
      <c r="G109" s="4" t="s">
        <v>41</v>
      </c>
      <c r="H109" s="4" t="s">
        <v>468</v>
      </c>
      <c r="I109" s="4" t="s">
        <v>469</v>
      </c>
      <c r="J109" s="4" t="s">
        <v>44</v>
      </c>
    </row>
    <row r="110" customFormat="false" ht="15" hidden="false" customHeight="true" outlineLevel="0" collapsed="false">
      <c r="A110" s="4" t="s">
        <v>358</v>
      </c>
      <c r="B110" s="4" t="s">
        <v>470</v>
      </c>
      <c r="C110" s="4" t="s">
        <v>471</v>
      </c>
      <c r="D110" s="4" t="s">
        <v>151</v>
      </c>
      <c r="E110" s="4" t="n">
        <v>5</v>
      </c>
      <c r="F110" s="4" t="s">
        <v>40</v>
      </c>
      <c r="G110" s="4" t="s">
        <v>55</v>
      </c>
      <c r="H110" s="4" t="s">
        <v>472</v>
      </c>
      <c r="I110" s="4" t="s">
        <v>473</v>
      </c>
      <c r="J110" s="4" t="s">
        <v>44</v>
      </c>
    </row>
    <row r="111" customFormat="false" ht="23.25" hidden="false" customHeight="true" outlineLevel="0" collapsed="false">
      <c r="A111" s="4" t="s">
        <v>358</v>
      </c>
      <c r="B111" s="4" t="s">
        <v>474</v>
      </c>
      <c r="C111" s="4" t="s">
        <v>475</v>
      </c>
      <c r="D111" s="4" t="s">
        <v>151</v>
      </c>
      <c r="E111" s="4" t="n">
        <v>5</v>
      </c>
      <c r="F111" s="4" t="s">
        <v>40</v>
      </c>
      <c r="G111" s="4" t="s">
        <v>55</v>
      </c>
      <c r="H111" s="4" t="s">
        <v>476</v>
      </c>
      <c r="I111" s="4" t="s">
        <v>330</v>
      </c>
      <c r="J111" s="4" t="s">
        <v>44</v>
      </c>
    </row>
    <row r="112" customFormat="false" ht="15" hidden="false" customHeight="true" outlineLevel="0" collapsed="false">
      <c r="A112" s="4" t="s">
        <v>358</v>
      </c>
      <c r="B112" s="4" t="s">
        <v>477</v>
      </c>
      <c r="C112" s="4" t="s">
        <v>183</v>
      </c>
      <c r="D112" s="4" t="s">
        <v>184</v>
      </c>
      <c r="E112" s="4" t="n">
        <v>4</v>
      </c>
      <c r="F112" s="4" t="s">
        <v>40</v>
      </c>
      <c r="G112" s="4" t="s">
        <v>41</v>
      </c>
      <c r="H112" s="4" t="s">
        <v>478</v>
      </c>
      <c r="I112" s="4" t="s">
        <v>479</v>
      </c>
      <c r="J112" s="4" t="s">
        <v>44</v>
      </c>
    </row>
    <row r="113" customFormat="false" ht="15" hidden="false" customHeight="true" outlineLevel="0" collapsed="false">
      <c r="A113" s="4" t="s">
        <v>358</v>
      </c>
      <c r="B113" s="4" t="s">
        <v>480</v>
      </c>
      <c r="C113" s="4" t="s">
        <v>188</v>
      </c>
      <c r="D113" s="4" t="s">
        <v>184</v>
      </c>
      <c r="E113" s="4" t="n">
        <v>4</v>
      </c>
      <c r="F113" s="4" t="s">
        <v>40</v>
      </c>
      <c r="G113" s="4" t="s">
        <v>41</v>
      </c>
      <c r="H113" s="4" t="s">
        <v>481</v>
      </c>
      <c r="I113" s="4" t="s">
        <v>482</v>
      </c>
      <c r="J113" s="4" t="s">
        <v>44</v>
      </c>
    </row>
    <row r="114" customFormat="false" ht="15" hidden="false" customHeight="true" outlineLevel="0" collapsed="false">
      <c r="A114" s="4" t="s">
        <v>358</v>
      </c>
      <c r="B114" s="4" t="s">
        <v>483</v>
      </c>
      <c r="C114" s="4" t="s">
        <v>484</v>
      </c>
      <c r="D114" s="4" t="s">
        <v>184</v>
      </c>
      <c r="E114" s="4" t="n">
        <v>4</v>
      </c>
      <c r="F114" s="4" t="s">
        <v>40</v>
      </c>
      <c r="G114" s="4" t="s">
        <v>55</v>
      </c>
      <c r="H114" s="4" t="s">
        <v>485</v>
      </c>
      <c r="I114" s="4" t="s">
        <v>486</v>
      </c>
      <c r="J114" s="4" t="s">
        <v>44</v>
      </c>
    </row>
    <row r="115" customFormat="false" ht="23.25" hidden="false" customHeight="true" outlineLevel="0" collapsed="false">
      <c r="A115" s="4" t="s">
        <v>358</v>
      </c>
      <c r="B115" s="4" t="s">
        <v>487</v>
      </c>
      <c r="C115" s="4" t="s">
        <v>196</v>
      </c>
      <c r="D115" s="4" t="s">
        <v>184</v>
      </c>
      <c r="E115" s="4" t="n">
        <v>4</v>
      </c>
      <c r="F115" s="4" t="s">
        <v>40</v>
      </c>
      <c r="G115" s="4" t="s">
        <v>55</v>
      </c>
      <c r="H115" s="4" t="s">
        <v>488</v>
      </c>
      <c r="I115" s="4" t="s">
        <v>489</v>
      </c>
      <c r="J115" s="4" t="s">
        <v>44</v>
      </c>
    </row>
    <row r="116" customFormat="false" ht="23.25" hidden="false" customHeight="true" outlineLevel="0" collapsed="false">
      <c r="A116" s="4" t="s">
        <v>358</v>
      </c>
      <c r="B116" s="4" t="s">
        <v>490</v>
      </c>
      <c r="C116" s="4" t="s">
        <v>491</v>
      </c>
      <c r="D116" s="4" t="s">
        <v>184</v>
      </c>
      <c r="E116" s="4" t="n">
        <v>4</v>
      </c>
      <c r="F116" s="4" t="s">
        <v>40</v>
      </c>
      <c r="G116" s="4" t="s">
        <v>55</v>
      </c>
      <c r="H116" s="4" t="s">
        <v>492</v>
      </c>
      <c r="I116" s="4" t="s">
        <v>493</v>
      </c>
      <c r="J116" s="4" t="s">
        <v>44</v>
      </c>
    </row>
    <row r="117" customFormat="false" ht="15" hidden="false" customHeight="true" outlineLevel="0" collapsed="false">
      <c r="A117" s="4" t="s">
        <v>358</v>
      </c>
      <c r="B117" s="4" t="s">
        <v>494</v>
      </c>
      <c r="C117" s="4" t="s">
        <v>495</v>
      </c>
      <c r="D117" s="4" t="s">
        <v>184</v>
      </c>
      <c r="E117" s="4" t="n">
        <v>4</v>
      </c>
      <c r="F117" s="4" t="s">
        <v>40</v>
      </c>
      <c r="G117" s="4" t="s">
        <v>60</v>
      </c>
      <c r="H117" s="4" t="s">
        <v>496</v>
      </c>
      <c r="I117" s="4" t="s">
        <v>497</v>
      </c>
      <c r="J117" s="4" t="s">
        <v>44</v>
      </c>
    </row>
    <row r="118" customFormat="false" ht="15" hidden="false" customHeight="true" outlineLevel="0" collapsed="false">
      <c r="A118" s="4" t="s">
        <v>358</v>
      </c>
      <c r="B118" s="4" t="s">
        <v>498</v>
      </c>
      <c r="C118" s="4" t="s">
        <v>499</v>
      </c>
      <c r="D118" s="4" t="s">
        <v>184</v>
      </c>
      <c r="E118" s="4" t="n">
        <v>4</v>
      </c>
      <c r="F118" s="4" t="s">
        <v>40</v>
      </c>
      <c r="G118" s="4" t="s">
        <v>55</v>
      </c>
      <c r="H118" s="4" t="s">
        <v>500</v>
      </c>
      <c r="I118" s="4" t="s">
        <v>501</v>
      </c>
      <c r="J118" s="4" t="s">
        <v>44</v>
      </c>
    </row>
    <row r="119" customFormat="false" ht="23.25" hidden="false" customHeight="true" outlineLevel="0" collapsed="false">
      <c r="A119" s="4" t="s">
        <v>502</v>
      </c>
      <c r="B119" s="4" t="s">
        <v>503</v>
      </c>
      <c r="C119" s="4" t="s">
        <v>504</v>
      </c>
      <c r="D119" s="4" t="s">
        <v>39</v>
      </c>
      <c r="E119" s="4" t="n">
        <v>4</v>
      </c>
      <c r="F119" s="4" t="s">
        <v>40</v>
      </c>
      <c r="G119" s="4" t="s">
        <v>41</v>
      </c>
      <c r="H119" s="4" t="s">
        <v>505</v>
      </c>
      <c r="I119" s="4" t="s">
        <v>506</v>
      </c>
      <c r="J119" s="4" t="s">
        <v>44</v>
      </c>
    </row>
    <row r="120" customFormat="false" ht="34.5" hidden="false" customHeight="true" outlineLevel="0" collapsed="false">
      <c r="A120" s="4" t="s">
        <v>502</v>
      </c>
      <c r="B120" s="4" t="s">
        <v>507</v>
      </c>
      <c r="C120" s="4" t="s">
        <v>508</v>
      </c>
      <c r="D120" s="4" t="s">
        <v>39</v>
      </c>
      <c r="E120" s="4" t="n">
        <v>4</v>
      </c>
      <c r="F120" s="4" t="s">
        <v>40</v>
      </c>
      <c r="G120" s="4" t="s">
        <v>41</v>
      </c>
      <c r="H120" s="4" t="s">
        <v>509</v>
      </c>
      <c r="I120" s="4" t="s">
        <v>510</v>
      </c>
      <c r="J120" s="4" t="s">
        <v>44</v>
      </c>
    </row>
    <row r="121" customFormat="false" ht="34.5" hidden="false" customHeight="true" outlineLevel="0" collapsed="false">
      <c r="A121" s="4" t="s">
        <v>502</v>
      </c>
      <c r="B121" s="4" t="s">
        <v>511</v>
      </c>
      <c r="C121" s="4" t="s">
        <v>512</v>
      </c>
      <c r="D121" s="4" t="s">
        <v>39</v>
      </c>
      <c r="E121" s="4" t="n">
        <v>3</v>
      </c>
      <c r="F121" s="4" t="s">
        <v>40</v>
      </c>
      <c r="G121" s="4" t="s">
        <v>41</v>
      </c>
      <c r="H121" s="4" t="s">
        <v>513</v>
      </c>
      <c r="I121" s="4" t="s">
        <v>514</v>
      </c>
      <c r="J121" s="4" t="s">
        <v>44</v>
      </c>
    </row>
    <row r="122" customFormat="false" ht="23.25" hidden="false" customHeight="true" outlineLevel="0" collapsed="false">
      <c r="A122" s="4" t="s">
        <v>502</v>
      </c>
      <c r="B122" s="4" t="s">
        <v>515</v>
      </c>
      <c r="C122" s="4" t="s">
        <v>183</v>
      </c>
      <c r="D122" s="4" t="s">
        <v>184</v>
      </c>
      <c r="E122" s="4" t="n">
        <v>4</v>
      </c>
      <c r="F122" s="4" t="s">
        <v>40</v>
      </c>
      <c r="G122" s="4" t="s">
        <v>41</v>
      </c>
      <c r="H122" s="4" t="s">
        <v>516</v>
      </c>
      <c r="I122" s="4" t="s">
        <v>517</v>
      </c>
      <c r="J122" s="4" t="s">
        <v>44</v>
      </c>
    </row>
    <row r="123" customFormat="false" ht="23.25" hidden="false" customHeight="true" outlineLevel="0" collapsed="false">
      <c r="A123" s="4" t="s">
        <v>502</v>
      </c>
      <c r="B123" s="4" t="s">
        <v>518</v>
      </c>
      <c r="C123" s="4" t="s">
        <v>188</v>
      </c>
      <c r="D123" s="4" t="s">
        <v>184</v>
      </c>
      <c r="E123" s="4" t="n">
        <v>4</v>
      </c>
      <c r="F123" s="4" t="s">
        <v>40</v>
      </c>
      <c r="G123" s="4" t="s">
        <v>41</v>
      </c>
      <c r="H123" s="4" t="s">
        <v>519</v>
      </c>
      <c r="I123" s="4" t="s">
        <v>520</v>
      </c>
      <c r="J123" s="4" t="s">
        <v>44</v>
      </c>
    </row>
    <row r="124" customFormat="false" ht="23.25" hidden="false" customHeight="true" outlineLevel="0" collapsed="false">
      <c r="A124" s="4" t="s">
        <v>502</v>
      </c>
      <c r="B124" s="4" t="s">
        <v>521</v>
      </c>
      <c r="C124" s="4" t="s">
        <v>522</v>
      </c>
      <c r="D124" s="4" t="s">
        <v>184</v>
      </c>
      <c r="E124" s="4" t="n">
        <v>3</v>
      </c>
      <c r="F124" s="4" t="s">
        <v>40</v>
      </c>
      <c r="G124" s="4" t="s">
        <v>41</v>
      </c>
      <c r="H124" s="4" t="s">
        <v>523</v>
      </c>
      <c r="I124" s="4" t="s">
        <v>524</v>
      </c>
      <c r="J124" s="4" t="s">
        <v>44</v>
      </c>
    </row>
    <row r="125" customFormat="false" ht="23.25" hidden="false" customHeight="true" outlineLevel="0" collapsed="false">
      <c r="A125" s="4" t="s">
        <v>502</v>
      </c>
      <c r="B125" s="4" t="s">
        <v>525</v>
      </c>
      <c r="C125" s="4" t="s">
        <v>256</v>
      </c>
      <c r="D125" s="4" t="s">
        <v>89</v>
      </c>
      <c r="E125" s="4" t="n">
        <v>3</v>
      </c>
      <c r="F125" s="4" t="s">
        <v>40</v>
      </c>
      <c r="G125" s="4" t="s">
        <v>41</v>
      </c>
      <c r="H125" s="4" t="s">
        <v>526</v>
      </c>
      <c r="I125" s="4" t="s">
        <v>527</v>
      </c>
      <c r="J125" s="4" t="s">
        <v>44</v>
      </c>
    </row>
    <row r="126" customFormat="false" ht="23.25" hidden="false" customHeight="true" outlineLevel="0" collapsed="false">
      <c r="A126" s="4" t="s">
        <v>502</v>
      </c>
      <c r="B126" s="4" t="s">
        <v>528</v>
      </c>
      <c r="C126" s="4" t="s">
        <v>260</v>
      </c>
      <c r="D126" s="4" t="s">
        <v>89</v>
      </c>
      <c r="E126" s="4" t="n">
        <v>3</v>
      </c>
      <c r="F126" s="4" t="s">
        <v>40</v>
      </c>
      <c r="G126" s="4" t="s">
        <v>41</v>
      </c>
      <c r="H126" s="4" t="s">
        <v>529</v>
      </c>
      <c r="I126" s="4" t="s">
        <v>530</v>
      </c>
      <c r="J126" s="4" t="s">
        <v>44</v>
      </c>
    </row>
    <row r="127" customFormat="false" ht="23.25" hidden="false" customHeight="true" outlineLevel="0" collapsed="false">
      <c r="A127" s="4" t="s">
        <v>502</v>
      </c>
      <c r="B127" s="4" t="s">
        <v>531</v>
      </c>
      <c r="C127" s="4" t="s">
        <v>532</v>
      </c>
      <c r="D127" s="4" t="s">
        <v>114</v>
      </c>
      <c r="E127" s="4" t="n">
        <v>3</v>
      </c>
      <c r="F127" s="4" t="s">
        <v>40</v>
      </c>
      <c r="G127" s="4" t="s">
        <v>41</v>
      </c>
      <c r="H127" s="4" t="s">
        <v>533</v>
      </c>
      <c r="I127" s="4" t="s">
        <v>534</v>
      </c>
      <c r="J127" s="4" t="s">
        <v>44</v>
      </c>
    </row>
    <row r="128" customFormat="false" ht="34.5" hidden="false" customHeight="true" outlineLevel="0" collapsed="false">
      <c r="A128" s="4" t="s">
        <v>502</v>
      </c>
      <c r="B128" s="4" t="s">
        <v>535</v>
      </c>
      <c r="C128" s="4" t="s">
        <v>536</v>
      </c>
      <c r="D128" s="4" t="s">
        <v>114</v>
      </c>
      <c r="E128" s="4" t="n">
        <v>4</v>
      </c>
      <c r="F128" s="4" t="s">
        <v>40</v>
      </c>
      <c r="G128" s="4" t="s">
        <v>41</v>
      </c>
      <c r="H128" s="4" t="s">
        <v>537</v>
      </c>
      <c r="I128" s="4" t="s">
        <v>538</v>
      </c>
      <c r="J128" s="4" t="s">
        <v>44</v>
      </c>
    </row>
    <row r="129" customFormat="false" ht="23.25" hidden="false" customHeight="true" outlineLevel="0" collapsed="false">
      <c r="A129" s="4" t="s">
        <v>502</v>
      </c>
      <c r="B129" s="4" t="s">
        <v>539</v>
      </c>
      <c r="C129" s="4" t="s">
        <v>540</v>
      </c>
      <c r="D129" s="4" t="s">
        <v>151</v>
      </c>
      <c r="E129" s="4" t="n">
        <v>4</v>
      </c>
      <c r="F129" s="4" t="s">
        <v>40</v>
      </c>
      <c r="G129" s="4" t="s">
        <v>41</v>
      </c>
      <c r="H129" s="4" t="s">
        <v>541</v>
      </c>
      <c r="I129" s="4" t="s">
        <v>542</v>
      </c>
      <c r="J129" s="4" t="s">
        <v>44</v>
      </c>
    </row>
    <row r="130" customFormat="false" ht="23.25" hidden="false" customHeight="true" outlineLevel="0" collapsed="false">
      <c r="A130" s="4" t="s">
        <v>502</v>
      </c>
      <c r="B130" s="4" t="s">
        <v>543</v>
      </c>
      <c r="C130" s="4" t="s">
        <v>544</v>
      </c>
      <c r="D130" s="4" t="s">
        <v>151</v>
      </c>
      <c r="E130" s="4" t="n">
        <v>4</v>
      </c>
      <c r="F130" s="4" t="s">
        <v>40</v>
      </c>
      <c r="G130" s="4" t="s">
        <v>41</v>
      </c>
      <c r="H130" s="4" t="s">
        <v>545</v>
      </c>
      <c r="I130" s="4" t="s">
        <v>465</v>
      </c>
      <c r="J130" s="4" t="s">
        <v>44</v>
      </c>
    </row>
    <row r="131" customFormat="false" ht="23.25" hidden="false" customHeight="true" outlineLevel="0" collapsed="false">
      <c r="A131" s="4" t="s">
        <v>502</v>
      </c>
      <c r="B131" s="4" t="s">
        <v>546</v>
      </c>
      <c r="C131" s="4" t="s">
        <v>547</v>
      </c>
      <c r="D131" s="4" t="s">
        <v>548</v>
      </c>
      <c r="E131" s="4" t="n">
        <v>3</v>
      </c>
      <c r="F131" s="4" t="s">
        <v>40</v>
      </c>
      <c r="G131" s="4" t="s">
        <v>41</v>
      </c>
      <c r="H131" s="4" t="s">
        <v>549</v>
      </c>
      <c r="I131" s="4" t="s">
        <v>550</v>
      </c>
      <c r="J131" s="4" t="s">
        <v>44</v>
      </c>
    </row>
    <row r="132" customFormat="false" ht="23.25" hidden="false" customHeight="true" outlineLevel="0" collapsed="false">
      <c r="A132" s="4" t="s">
        <v>502</v>
      </c>
      <c r="B132" s="4" t="s">
        <v>551</v>
      </c>
      <c r="C132" s="4" t="s">
        <v>552</v>
      </c>
      <c r="D132" s="4" t="s">
        <v>548</v>
      </c>
      <c r="E132" s="4" t="n">
        <v>1</v>
      </c>
      <c r="F132" s="4" t="s">
        <v>40</v>
      </c>
      <c r="G132" s="4" t="s">
        <v>41</v>
      </c>
      <c r="H132" s="4" t="s">
        <v>553</v>
      </c>
      <c r="I132" s="4" t="s">
        <v>554</v>
      </c>
      <c r="J132" s="4" t="s">
        <v>44</v>
      </c>
    </row>
    <row r="133" customFormat="false" ht="23.25" hidden="false" customHeight="true" outlineLevel="0" collapsed="false">
      <c r="A133" s="4" t="s">
        <v>555</v>
      </c>
      <c r="B133" s="4" t="s">
        <v>556</v>
      </c>
      <c r="C133" s="4" t="s">
        <v>196</v>
      </c>
      <c r="D133" s="4" t="s">
        <v>184</v>
      </c>
      <c r="E133" s="4" t="n">
        <v>4</v>
      </c>
      <c r="F133" s="4" t="s">
        <v>557</v>
      </c>
      <c r="G133" s="4" t="s">
        <v>55</v>
      </c>
      <c r="H133" s="4" t="s">
        <v>558</v>
      </c>
      <c r="I133" s="4" t="s">
        <v>559</v>
      </c>
      <c r="J133" s="4" t="s">
        <v>44</v>
      </c>
    </row>
    <row r="134" customFormat="false" ht="23.25" hidden="false" customHeight="true" outlineLevel="0" collapsed="false">
      <c r="A134" s="4" t="s">
        <v>555</v>
      </c>
      <c r="B134" s="4" t="s">
        <v>560</v>
      </c>
      <c r="C134" s="4" t="s">
        <v>561</v>
      </c>
      <c r="D134" s="4" t="s">
        <v>184</v>
      </c>
      <c r="E134" s="4" t="n">
        <v>5</v>
      </c>
      <c r="F134" s="4" t="s">
        <v>557</v>
      </c>
      <c r="G134" s="4" t="s">
        <v>41</v>
      </c>
      <c r="H134" s="4" t="s">
        <v>562</v>
      </c>
      <c r="I134" s="4" t="s">
        <v>479</v>
      </c>
      <c r="J134" s="4" t="s">
        <v>44</v>
      </c>
    </row>
    <row r="135" customFormat="false" ht="23.25" hidden="false" customHeight="true" outlineLevel="0" collapsed="false">
      <c r="A135" s="4" t="s">
        <v>555</v>
      </c>
      <c r="B135" s="4" t="s">
        <v>563</v>
      </c>
      <c r="C135" s="4" t="s">
        <v>564</v>
      </c>
      <c r="D135" s="4" t="s">
        <v>184</v>
      </c>
      <c r="E135" s="4" t="n">
        <v>5</v>
      </c>
      <c r="F135" s="4" t="s">
        <v>557</v>
      </c>
      <c r="G135" s="4" t="s">
        <v>41</v>
      </c>
      <c r="H135" s="4" t="s">
        <v>565</v>
      </c>
      <c r="I135" s="4" t="s">
        <v>566</v>
      </c>
      <c r="J135" s="4" t="s">
        <v>44</v>
      </c>
    </row>
    <row r="136" customFormat="false" ht="23.25" hidden="false" customHeight="true" outlineLevel="0" collapsed="false">
      <c r="A136" s="4" t="s">
        <v>555</v>
      </c>
      <c r="B136" s="4" t="s">
        <v>567</v>
      </c>
      <c r="C136" s="4" t="s">
        <v>568</v>
      </c>
      <c r="D136" s="4" t="s">
        <v>39</v>
      </c>
      <c r="E136" s="4" t="n">
        <v>5</v>
      </c>
      <c r="F136" s="4" t="s">
        <v>557</v>
      </c>
      <c r="G136" s="4" t="s">
        <v>41</v>
      </c>
      <c r="H136" s="4" t="s">
        <v>569</v>
      </c>
      <c r="I136" s="4" t="s">
        <v>570</v>
      </c>
      <c r="J136" s="4" t="s">
        <v>44</v>
      </c>
    </row>
    <row r="137" customFormat="false" ht="23.25" hidden="false" customHeight="true" outlineLevel="0" collapsed="false">
      <c r="A137" s="4" t="s">
        <v>555</v>
      </c>
      <c r="B137" s="4" t="s">
        <v>571</v>
      </c>
      <c r="C137" s="4" t="s">
        <v>572</v>
      </c>
      <c r="D137" s="4" t="s">
        <v>39</v>
      </c>
      <c r="E137" s="4" t="n">
        <v>5</v>
      </c>
      <c r="F137" s="4" t="s">
        <v>557</v>
      </c>
      <c r="G137" s="4" t="s">
        <v>60</v>
      </c>
      <c r="H137" s="4" t="s">
        <v>573</v>
      </c>
      <c r="I137" s="4" t="s">
        <v>574</v>
      </c>
      <c r="J137" s="4" t="s">
        <v>44</v>
      </c>
    </row>
    <row r="138" customFormat="false" ht="23.25" hidden="false" customHeight="true" outlineLevel="0" collapsed="false">
      <c r="A138" s="4" t="s">
        <v>555</v>
      </c>
      <c r="B138" s="4" t="s">
        <v>575</v>
      </c>
      <c r="C138" s="4" t="s">
        <v>394</v>
      </c>
      <c r="D138" s="4" t="s">
        <v>89</v>
      </c>
      <c r="E138" s="4" t="n">
        <v>5</v>
      </c>
      <c r="F138" s="4" t="s">
        <v>557</v>
      </c>
      <c r="G138" s="4" t="s">
        <v>55</v>
      </c>
      <c r="H138" s="4" t="s">
        <v>576</v>
      </c>
      <c r="I138" s="4" t="s">
        <v>577</v>
      </c>
      <c r="J138" s="4" t="s">
        <v>44</v>
      </c>
    </row>
    <row r="139" customFormat="false" ht="23.25" hidden="false" customHeight="true" outlineLevel="0" collapsed="false">
      <c r="A139" s="4" t="s">
        <v>555</v>
      </c>
      <c r="B139" s="4" t="s">
        <v>578</v>
      </c>
      <c r="C139" s="4" t="s">
        <v>398</v>
      </c>
      <c r="D139" s="4" t="s">
        <v>89</v>
      </c>
      <c r="E139" s="4" t="n">
        <v>5</v>
      </c>
      <c r="F139" s="4" t="s">
        <v>557</v>
      </c>
      <c r="G139" s="4" t="s">
        <v>55</v>
      </c>
      <c r="H139" s="4" t="s">
        <v>579</v>
      </c>
      <c r="I139" s="4" t="s">
        <v>580</v>
      </c>
      <c r="J139" s="4" t="s">
        <v>44</v>
      </c>
    </row>
    <row r="140" customFormat="false" ht="23.25" hidden="false" customHeight="true" outlineLevel="0" collapsed="false">
      <c r="A140" s="4" t="s">
        <v>555</v>
      </c>
      <c r="B140" s="4" t="s">
        <v>581</v>
      </c>
      <c r="C140" s="4" t="s">
        <v>582</v>
      </c>
      <c r="D140" s="4" t="s">
        <v>89</v>
      </c>
      <c r="E140" s="4" t="n">
        <v>5</v>
      </c>
      <c r="F140" s="4" t="s">
        <v>557</v>
      </c>
      <c r="G140" s="4" t="s">
        <v>55</v>
      </c>
      <c r="H140" s="4" t="s">
        <v>583</v>
      </c>
      <c r="I140" s="4" t="s">
        <v>584</v>
      </c>
      <c r="J140" s="4" t="s">
        <v>44</v>
      </c>
    </row>
    <row r="141" customFormat="false" ht="23.25" hidden="false" customHeight="true" outlineLevel="0" collapsed="false">
      <c r="A141" s="4" t="s">
        <v>555</v>
      </c>
      <c r="B141" s="4" t="s">
        <v>585</v>
      </c>
      <c r="C141" s="4" t="s">
        <v>586</v>
      </c>
      <c r="D141" s="4" t="s">
        <v>89</v>
      </c>
      <c r="E141" s="4" t="n">
        <v>5</v>
      </c>
      <c r="F141" s="4" t="s">
        <v>557</v>
      </c>
      <c r="G141" s="4" t="s">
        <v>60</v>
      </c>
      <c r="H141" s="4" t="s">
        <v>587</v>
      </c>
      <c r="I141" s="4" t="s">
        <v>588</v>
      </c>
      <c r="J141" s="4" t="s">
        <v>44</v>
      </c>
    </row>
    <row r="142" customFormat="false" ht="23.25" hidden="false" customHeight="true" outlineLevel="0" collapsed="false">
      <c r="A142" s="4" t="s">
        <v>555</v>
      </c>
      <c r="B142" s="4" t="s">
        <v>589</v>
      </c>
      <c r="C142" s="4" t="s">
        <v>532</v>
      </c>
      <c r="D142" s="4" t="s">
        <v>114</v>
      </c>
      <c r="E142" s="4" t="n">
        <v>5</v>
      </c>
      <c r="F142" s="4" t="s">
        <v>557</v>
      </c>
      <c r="G142" s="4" t="s">
        <v>41</v>
      </c>
      <c r="H142" s="4" t="s">
        <v>590</v>
      </c>
      <c r="I142" s="4" t="s">
        <v>534</v>
      </c>
      <c r="J142" s="4" t="s">
        <v>44</v>
      </c>
    </row>
    <row r="143" customFormat="false" ht="23.25" hidden="false" customHeight="true" outlineLevel="0" collapsed="false">
      <c r="A143" s="4" t="s">
        <v>555</v>
      </c>
      <c r="B143" s="4" t="s">
        <v>591</v>
      </c>
      <c r="C143" s="4" t="s">
        <v>592</v>
      </c>
      <c r="D143" s="4" t="s">
        <v>114</v>
      </c>
      <c r="E143" s="4" t="n">
        <v>5</v>
      </c>
      <c r="F143" s="4" t="s">
        <v>557</v>
      </c>
      <c r="G143" s="4" t="s">
        <v>55</v>
      </c>
      <c r="H143" s="4" t="s">
        <v>593</v>
      </c>
      <c r="I143" s="4" t="s">
        <v>594</v>
      </c>
      <c r="J143" s="4" t="s">
        <v>44</v>
      </c>
    </row>
  </sheetData>
  <autoFilter ref="A1:J1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36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11"/>
  </cols>
  <sheetData>
    <row r="1" customFormat="false" ht="26.25" hidden="false" customHeight="true" outlineLevel="0" collapsed="false">
      <c r="A1" s="5" t="s">
        <v>595</v>
      </c>
      <c r="B1" s="5" t="s">
        <v>26</v>
      </c>
      <c r="C1" s="5" t="s">
        <v>27</v>
      </c>
      <c r="D1" s="5" t="s">
        <v>28</v>
      </c>
      <c r="E1" s="5" t="s">
        <v>596</v>
      </c>
      <c r="F1" s="5" t="s">
        <v>597</v>
      </c>
      <c r="G1" s="5" t="s">
        <v>598</v>
      </c>
      <c r="H1" s="5" t="s">
        <v>599</v>
      </c>
      <c r="I1" s="5" t="s">
        <v>600</v>
      </c>
    </row>
    <row r="2" customFormat="false" ht="23.25" hidden="false" customHeight="true" outlineLevel="0" collapsed="false">
      <c r="A2" s="4" t="s">
        <v>601</v>
      </c>
      <c r="B2" s="4" t="s">
        <v>211</v>
      </c>
      <c r="C2" s="4" t="s">
        <v>212</v>
      </c>
      <c r="D2" s="4" t="s">
        <v>213</v>
      </c>
      <c r="E2" s="4" t="s">
        <v>37</v>
      </c>
      <c r="F2" s="4" t="s">
        <v>602</v>
      </c>
      <c r="G2" s="4" t="s">
        <v>603</v>
      </c>
      <c r="H2" s="4" t="s">
        <v>604</v>
      </c>
      <c r="I2" s="4" t="s">
        <v>605</v>
      </c>
    </row>
    <row r="3" customFormat="false" ht="15" hidden="false" customHeight="true" outlineLevel="0" collapsed="false">
      <c r="A3" s="4" t="s">
        <v>606</v>
      </c>
      <c r="B3" s="4" t="s">
        <v>358</v>
      </c>
      <c r="C3" s="4" t="s">
        <v>359</v>
      </c>
      <c r="D3" s="4" t="s">
        <v>360</v>
      </c>
      <c r="E3" s="4" t="s">
        <v>37</v>
      </c>
      <c r="F3" s="4" t="s">
        <v>602</v>
      </c>
      <c r="G3" s="4" t="s">
        <v>603</v>
      </c>
      <c r="H3" s="4" t="s">
        <v>607</v>
      </c>
      <c r="I3" s="4" t="s">
        <v>608</v>
      </c>
    </row>
    <row r="4" customFormat="false" ht="15" hidden="false" customHeight="true" outlineLevel="0" collapsed="false">
      <c r="A4" s="4" t="s">
        <v>609</v>
      </c>
      <c r="B4" s="4" t="s">
        <v>358</v>
      </c>
      <c r="C4" s="4" t="s">
        <v>363</v>
      </c>
      <c r="D4" s="4" t="s">
        <v>364</v>
      </c>
      <c r="E4" s="4" t="s">
        <v>45</v>
      </c>
      <c r="F4" s="4" t="s">
        <v>602</v>
      </c>
      <c r="G4" s="4" t="s">
        <v>603</v>
      </c>
      <c r="H4" s="4" t="s">
        <v>610</v>
      </c>
      <c r="I4" s="4" t="s">
        <v>611</v>
      </c>
    </row>
    <row r="5" customFormat="false" ht="15" hidden="false" customHeight="true" outlineLevel="0" collapsed="false">
      <c r="A5" s="4" t="s">
        <v>612</v>
      </c>
      <c r="B5" s="4" t="s">
        <v>211</v>
      </c>
      <c r="C5" s="4" t="s">
        <v>224</v>
      </c>
      <c r="D5" s="4" t="s">
        <v>225</v>
      </c>
      <c r="E5" s="4" t="s">
        <v>49</v>
      </c>
      <c r="F5" s="4" t="s">
        <v>602</v>
      </c>
      <c r="G5" s="4" t="s">
        <v>603</v>
      </c>
      <c r="H5" s="4" t="s">
        <v>613</v>
      </c>
      <c r="I5" s="4" t="s">
        <v>614</v>
      </c>
    </row>
    <row r="6" customFormat="false" ht="15" hidden="false" customHeight="true" outlineLevel="0" collapsed="false">
      <c r="A6" s="4" t="s">
        <v>615</v>
      </c>
      <c r="B6" s="4" t="s">
        <v>358</v>
      </c>
      <c r="C6" s="4" t="s">
        <v>382</v>
      </c>
      <c r="D6" s="4" t="s">
        <v>204</v>
      </c>
      <c r="E6" s="4" t="s">
        <v>49</v>
      </c>
      <c r="F6" s="4" t="s">
        <v>602</v>
      </c>
      <c r="G6" s="4" t="s">
        <v>603</v>
      </c>
      <c r="H6" s="4" t="s">
        <v>616</v>
      </c>
      <c r="I6" s="4" t="s">
        <v>617</v>
      </c>
    </row>
    <row r="7" customFormat="false" ht="15" hidden="false" customHeight="true" outlineLevel="0" collapsed="false">
      <c r="A7" s="4" t="s">
        <v>618</v>
      </c>
      <c r="B7" s="4" t="s">
        <v>211</v>
      </c>
      <c r="C7" s="4" t="s">
        <v>236</v>
      </c>
      <c r="D7" s="4" t="s">
        <v>54</v>
      </c>
      <c r="E7" s="4" t="s">
        <v>53</v>
      </c>
      <c r="F7" s="4" t="s">
        <v>602</v>
      </c>
      <c r="G7" s="4" t="s">
        <v>603</v>
      </c>
      <c r="H7" s="4" t="s">
        <v>619</v>
      </c>
      <c r="I7" s="4" t="s">
        <v>620</v>
      </c>
    </row>
    <row r="8" customFormat="false" ht="15" hidden="false" customHeight="true" outlineLevel="0" collapsed="false">
      <c r="A8" s="4" t="s">
        <v>621</v>
      </c>
      <c r="B8" s="4" t="s">
        <v>358</v>
      </c>
      <c r="C8" s="4" t="s">
        <v>367</v>
      </c>
      <c r="D8" s="4" t="s">
        <v>368</v>
      </c>
      <c r="E8" s="4" t="s">
        <v>53</v>
      </c>
      <c r="F8" s="4" t="s">
        <v>602</v>
      </c>
      <c r="G8" s="4" t="s">
        <v>603</v>
      </c>
      <c r="H8" s="4" t="s">
        <v>622</v>
      </c>
      <c r="I8" s="4" t="s">
        <v>605</v>
      </c>
    </row>
    <row r="9" customFormat="false" ht="15" hidden="false" customHeight="true" outlineLevel="0" collapsed="false">
      <c r="A9" s="4" t="s">
        <v>623</v>
      </c>
      <c r="B9" s="4" t="s">
        <v>211</v>
      </c>
      <c r="C9" s="4" t="s">
        <v>232</v>
      </c>
      <c r="D9" s="4" t="s">
        <v>233</v>
      </c>
      <c r="E9" s="4" t="s">
        <v>58</v>
      </c>
      <c r="F9" s="4" t="s">
        <v>602</v>
      </c>
      <c r="G9" s="4" t="s">
        <v>603</v>
      </c>
      <c r="H9" s="4" t="s">
        <v>624</v>
      </c>
      <c r="I9" s="4" t="s">
        <v>608</v>
      </c>
    </row>
    <row r="10" customFormat="false" ht="15" hidden="false" customHeight="true" outlineLevel="0" collapsed="false">
      <c r="A10" s="4" t="s">
        <v>625</v>
      </c>
      <c r="B10" s="4" t="s">
        <v>358</v>
      </c>
      <c r="C10" s="4" t="s">
        <v>375</v>
      </c>
      <c r="D10" s="4" t="s">
        <v>376</v>
      </c>
      <c r="E10" s="4" t="s">
        <v>58</v>
      </c>
      <c r="F10" s="4" t="s">
        <v>602</v>
      </c>
      <c r="G10" s="4" t="s">
        <v>603</v>
      </c>
      <c r="H10" s="4" t="s">
        <v>626</v>
      </c>
      <c r="I10" s="4" t="s">
        <v>611</v>
      </c>
    </row>
    <row r="11" customFormat="false" ht="15" hidden="false" customHeight="true" outlineLevel="0" collapsed="false">
      <c r="A11" s="4" t="s">
        <v>627</v>
      </c>
      <c r="B11" s="4" t="s">
        <v>211</v>
      </c>
      <c r="C11" s="4" t="s">
        <v>255</v>
      </c>
      <c r="D11" s="4" t="s">
        <v>256</v>
      </c>
      <c r="E11" s="4" t="s">
        <v>87</v>
      </c>
      <c r="F11" s="4" t="s">
        <v>602</v>
      </c>
      <c r="G11" s="4" t="s">
        <v>628</v>
      </c>
      <c r="H11" s="4" t="s">
        <v>629</v>
      </c>
      <c r="I11" s="4" t="s">
        <v>614</v>
      </c>
    </row>
    <row r="12" customFormat="false" ht="15" hidden="false" customHeight="true" outlineLevel="0" collapsed="false">
      <c r="A12" s="4" t="s">
        <v>630</v>
      </c>
      <c r="B12" s="4" t="s">
        <v>358</v>
      </c>
      <c r="C12" s="4" t="s">
        <v>385</v>
      </c>
      <c r="D12" s="4" t="s">
        <v>386</v>
      </c>
      <c r="E12" s="4" t="s">
        <v>87</v>
      </c>
      <c r="F12" s="4" t="s">
        <v>602</v>
      </c>
      <c r="G12" s="4" t="s">
        <v>628</v>
      </c>
      <c r="H12" s="4" t="s">
        <v>631</v>
      </c>
      <c r="I12" s="4" t="s">
        <v>617</v>
      </c>
    </row>
    <row r="13" customFormat="false" ht="15" hidden="false" customHeight="true" outlineLevel="0" collapsed="false">
      <c r="A13" s="4" t="s">
        <v>632</v>
      </c>
      <c r="B13" s="4" t="s">
        <v>211</v>
      </c>
      <c r="C13" s="4" t="s">
        <v>259</v>
      </c>
      <c r="D13" s="4" t="s">
        <v>260</v>
      </c>
      <c r="E13" s="4" t="s">
        <v>92</v>
      </c>
      <c r="F13" s="4" t="s">
        <v>602</v>
      </c>
      <c r="G13" s="4" t="s">
        <v>628</v>
      </c>
      <c r="H13" s="4" t="s">
        <v>633</v>
      </c>
      <c r="I13" s="4" t="s">
        <v>620</v>
      </c>
    </row>
    <row r="14" customFormat="false" ht="15" hidden="false" customHeight="true" outlineLevel="0" collapsed="false">
      <c r="A14" s="4" t="s">
        <v>634</v>
      </c>
      <c r="B14" s="4" t="s">
        <v>358</v>
      </c>
      <c r="C14" s="4" t="s">
        <v>389</v>
      </c>
      <c r="D14" s="4" t="s">
        <v>390</v>
      </c>
      <c r="E14" s="4" t="s">
        <v>92</v>
      </c>
      <c r="F14" s="4" t="s">
        <v>602</v>
      </c>
      <c r="G14" s="4" t="s">
        <v>628</v>
      </c>
      <c r="H14" s="4" t="s">
        <v>635</v>
      </c>
      <c r="I14" s="4" t="s">
        <v>605</v>
      </c>
    </row>
    <row r="15" customFormat="false" ht="15" hidden="false" customHeight="true" outlineLevel="0" collapsed="false">
      <c r="A15" s="4" t="s">
        <v>636</v>
      </c>
      <c r="B15" s="4" t="s">
        <v>211</v>
      </c>
      <c r="C15" s="4" t="s">
        <v>263</v>
      </c>
      <c r="D15" s="4" t="s">
        <v>264</v>
      </c>
      <c r="E15" s="4" t="s">
        <v>96</v>
      </c>
      <c r="F15" s="4" t="s">
        <v>602</v>
      </c>
      <c r="G15" s="4" t="s">
        <v>628</v>
      </c>
      <c r="H15" s="4" t="s">
        <v>637</v>
      </c>
      <c r="I15" s="4" t="s">
        <v>608</v>
      </c>
    </row>
    <row r="16" customFormat="false" ht="15" hidden="false" customHeight="true" outlineLevel="0" collapsed="false">
      <c r="A16" s="4" t="s">
        <v>638</v>
      </c>
      <c r="B16" s="4" t="s">
        <v>358</v>
      </c>
      <c r="C16" s="4" t="s">
        <v>393</v>
      </c>
      <c r="D16" s="4" t="s">
        <v>394</v>
      </c>
      <c r="E16" s="4" t="s">
        <v>96</v>
      </c>
      <c r="F16" s="4" t="s">
        <v>602</v>
      </c>
      <c r="G16" s="4" t="s">
        <v>628</v>
      </c>
      <c r="H16" s="4" t="s">
        <v>639</v>
      </c>
      <c r="I16" s="4" t="s">
        <v>611</v>
      </c>
    </row>
    <row r="17" customFormat="false" ht="15" hidden="false" customHeight="true" outlineLevel="0" collapsed="false">
      <c r="A17" s="4" t="s">
        <v>640</v>
      </c>
      <c r="B17" s="4" t="s">
        <v>211</v>
      </c>
      <c r="C17" s="4" t="s">
        <v>267</v>
      </c>
      <c r="D17" s="4" t="s">
        <v>268</v>
      </c>
      <c r="E17" s="4" t="s">
        <v>100</v>
      </c>
      <c r="F17" s="4" t="s">
        <v>602</v>
      </c>
      <c r="G17" s="4" t="s">
        <v>628</v>
      </c>
      <c r="H17" s="4" t="s">
        <v>641</v>
      </c>
      <c r="I17" s="4" t="s">
        <v>614</v>
      </c>
    </row>
    <row r="18" customFormat="false" ht="15" hidden="false" customHeight="true" outlineLevel="0" collapsed="false">
      <c r="A18" s="4" t="s">
        <v>642</v>
      </c>
      <c r="B18" s="4" t="s">
        <v>358</v>
      </c>
      <c r="C18" s="4" t="s">
        <v>397</v>
      </c>
      <c r="D18" s="4" t="s">
        <v>398</v>
      </c>
      <c r="E18" s="4" t="s">
        <v>100</v>
      </c>
      <c r="F18" s="4" t="s">
        <v>602</v>
      </c>
      <c r="G18" s="4" t="s">
        <v>628</v>
      </c>
      <c r="H18" s="4" t="s">
        <v>643</v>
      </c>
      <c r="I18" s="4" t="s">
        <v>617</v>
      </c>
    </row>
    <row r="19" customFormat="false" ht="15" hidden="false" customHeight="true" outlineLevel="0" collapsed="false">
      <c r="A19" s="4" t="s">
        <v>644</v>
      </c>
      <c r="B19" s="4" t="s">
        <v>211</v>
      </c>
      <c r="C19" s="4" t="s">
        <v>271</v>
      </c>
      <c r="D19" s="4" t="s">
        <v>272</v>
      </c>
      <c r="E19" s="4" t="s">
        <v>104</v>
      </c>
      <c r="F19" s="4" t="s">
        <v>602</v>
      </c>
      <c r="G19" s="4" t="s">
        <v>628</v>
      </c>
      <c r="H19" s="4" t="s">
        <v>645</v>
      </c>
      <c r="I19" s="4" t="s">
        <v>620</v>
      </c>
    </row>
    <row r="20" customFormat="false" ht="15" hidden="false" customHeight="true" outlineLevel="0" collapsed="false">
      <c r="A20" s="4" t="s">
        <v>646</v>
      </c>
      <c r="B20" s="4" t="s">
        <v>358</v>
      </c>
      <c r="C20" s="4" t="s">
        <v>401</v>
      </c>
      <c r="D20" s="4" t="s">
        <v>402</v>
      </c>
      <c r="E20" s="4" t="s">
        <v>104</v>
      </c>
      <c r="F20" s="4" t="s">
        <v>602</v>
      </c>
      <c r="G20" s="4" t="s">
        <v>628</v>
      </c>
      <c r="H20" s="4" t="s">
        <v>647</v>
      </c>
      <c r="I20" s="4" t="s">
        <v>605</v>
      </c>
    </row>
    <row r="21" customFormat="false" ht="15" hidden="false" customHeight="true" outlineLevel="0" collapsed="false">
      <c r="A21" s="4" t="s">
        <v>648</v>
      </c>
      <c r="B21" s="4" t="s">
        <v>211</v>
      </c>
      <c r="C21" s="4" t="s">
        <v>279</v>
      </c>
      <c r="D21" s="4" t="s">
        <v>280</v>
      </c>
      <c r="E21" s="4" t="s">
        <v>112</v>
      </c>
      <c r="F21" s="4" t="s">
        <v>602</v>
      </c>
      <c r="G21" s="4" t="s">
        <v>649</v>
      </c>
      <c r="H21" s="4" t="s">
        <v>650</v>
      </c>
      <c r="I21" s="4" t="s">
        <v>608</v>
      </c>
    </row>
    <row r="22" customFormat="false" ht="15" hidden="false" customHeight="true" outlineLevel="0" collapsed="false">
      <c r="A22" s="4" t="s">
        <v>651</v>
      </c>
      <c r="B22" s="4" t="s">
        <v>358</v>
      </c>
      <c r="C22" s="4" t="s">
        <v>409</v>
      </c>
      <c r="D22" s="4" t="s">
        <v>410</v>
      </c>
      <c r="E22" s="4" t="s">
        <v>112</v>
      </c>
      <c r="F22" s="4" t="s">
        <v>602</v>
      </c>
      <c r="G22" s="4" t="s">
        <v>649</v>
      </c>
      <c r="H22" s="4" t="s">
        <v>652</v>
      </c>
      <c r="I22" s="4" t="s">
        <v>611</v>
      </c>
    </row>
    <row r="23" customFormat="false" ht="15" hidden="false" customHeight="true" outlineLevel="0" collapsed="false">
      <c r="A23" s="4" t="s">
        <v>653</v>
      </c>
      <c r="B23" s="4" t="s">
        <v>211</v>
      </c>
      <c r="C23" s="4" t="s">
        <v>287</v>
      </c>
      <c r="D23" s="4" t="s">
        <v>288</v>
      </c>
      <c r="E23" s="4" t="s">
        <v>121</v>
      </c>
      <c r="F23" s="4" t="s">
        <v>602</v>
      </c>
      <c r="G23" s="4" t="s">
        <v>649</v>
      </c>
      <c r="H23" s="4" t="s">
        <v>654</v>
      </c>
      <c r="I23" s="4" t="s">
        <v>614</v>
      </c>
    </row>
    <row r="24" customFormat="false" ht="15" hidden="false" customHeight="true" outlineLevel="0" collapsed="false">
      <c r="A24" s="4" t="s">
        <v>655</v>
      </c>
      <c r="B24" s="4" t="s">
        <v>358</v>
      </c>
      <c r="C24" s="4" t="s">
        <v>421</v>
      </c>
      <c r="D24" s="4" t="s">
        <v>422</v>
      </c>
      <c r="E24" s="4" t="s">
        <v>125</v>
      </c>
      <c r="F24" s="4" t="s">
        <v>602</v>
      </c>
      <c r="G24" s="4" t="s">
        <v>649</v>
      </c>
      <c r="H24" s="4" t="s">
        <v>656</v>
      </c>
      <c r="I24" s="4" t="s">
        <v>617</v>
      </c>
    </row>
    <row r="25" customFormat="false" ht="15" hidden="false" customHeight="true" outlineLevel="0" collapsed="false">
      <c r="A25" s="4" t="s">
        <v>657</v>
      </c>
      <c r="B25" s="4" t="s">
        <v>358</v>
      </c>
      <c r="C25" s="4" t="s">
        <v>429</v>
      </c>
      <c r="D25" s="4" t="s">
        <v>430</v>
      </c>
      <c r="E25" s="4" t="s">
        <v>129</v>
      </c>
      <c r="F25" s="4" t="s">
        <v>602</v>
      </c>
      <c r="G25" s="4" t="s">
        <v>649</v>
      </c>
      <c r="H25" s="4" t="s">
        <v>658</v>
      </c>
      <c r="I25" s="4" t="s">
        <v>620</v>
      </c>
    </row>
    <row r="26" customFormat="false" ht="15" hidden="false" customHeight="true" outlineLevel="0" collapsed="false">
      <c r="A26" s="4" t="s">
        <v>659</v>
      </c>
      <c r="B26" s="4" t="s">
        <v>211</v>
      </c>
      <c r="C26" s="4" t="s">
        <v>294</v>
      </c>
      <c r="D26" s="4" t="s">
        <v>134</v>
      </c>
      <c r="E26" s="4" t="s">
        <v>133</v>
      </c>
      <c r="F26" s="4" t="s">
        <v>602</v>
      </c>
      <c r="G26" s="4" t="s">
        <v>649</v>
      </c>
      <c r="H26" s="4" t="s">
        <v>660</v>
      </c>
      <c r="I26" s="4" t="s">
        <v>605</v>
      </c>
    </row>
    <row r="27" customFormat="false" ht="15" hidden="false" customHeight="true" outlineLevel="0" collapsed="false">
      <c r="A27" s="4" t="s">
        <v>661</v>
      </c>
      <c r="B27" s="4" t="s">
        <v>358</v>
      </c>
      <c r="C27" s="4" t="s">
        <v>440</v>
      </c>
      <c r="D27" s="4" t="s">
        <v>134</v>
      </c>
      <c r="E27" s="4" t="s">
        <v>133</v>
      </c>
      <c r="F27" s="4" t="s">
        <v>602</v>
      </c>
      <c r="G27" s="4" t="s">
        <v>649</v>
      </c>
      <c r="H27" s="4" t="s">
        <v>662</v>
      </c>
      <c r="I27" s="4" t="s">
        <v>608</v>
      </c>
    </row>
    <row r="28" customFormat="false" ht="15" hidden="false" customHeight="true" outlineLevel="0" collapsed="false">
      <c r="A28" s="4" t="s">
        <v>663</v>
      </c>
      <c r="B28" s="4" t="s">
        <v>358</v>
      </c>
      <c r="C28" s="4" t="s">
        <v>433</v>
      </c>
      <c r="D28" s="4" t="s">
        <v>434</v>
      </c>
      <c r="E28" s="4" t="s">
        <v>137</v>
      </c>
      <c r="F28" s="4" t="s">
        <v>602</v>
      </c>
      <c r="G28" s="4" t="s">
        <v>649</v>
      </c>
      <c r="H28" s="4" t="s">
        <v>664</v>
      </c>
      <c r="I28" s="4" t="s">
        <v>611</v>
      </c>
    </row>
    <row r="29" customFormat="false" ht="15" hidden="false" customHeight="true" outlineLevel="0" collapsed="false">
      <c r="A29" s="4" t="s">
        <v>665</v>
      </c>
      <c r="B29" s="4" t="s">
        <v>211</v>
      </c>
      <c r="C29" s="4" t="s">
        <v>291</v>
      </c>
      <c r="D29" s="4" t="s">
        <v>142</v>
      </c>
      <c r="E29" s="4" t="s">
        <v>141</v>
      </c>
      <c r="F29" s="4" t="s">
        <v>602</v>
      </c>
      <c r="G29" s="4" t="s">
        <v>649</v>
      </c>
      <c r="H29" s="4" t="s">
        <v>666</v>
      </c>
      <c r="I29" s="4" t="s">
        <v>614</v>
      </c>
    </row>
    <row r="30" customFormat="false" ht="15" hidden="false" customHeight="true" outlineLevel="0" collapsed="false">
      <c r="A30" s="4" t="s">
        <v>667</v>
      </c>
      <c r="B30" s="4" t="s">
        <v>358</v>
      </c>
      <c r="C30" s="4" t="s">
        <v>437</v>
      </c>
      <c r="D30" s="4" t="s">
        <v>142</v>
      </c>
      <c r="E30" s="4" t="s">
        <v>141</v>
      </c>
      <c r="F30" s="4" t="s">
        <v>602</v>
      </c>
      <c r="G30" s="4" t="s">
        <v>649</v>
      </c>
      <c r="H30" s="4" t="s">
        <v>668</v>
      </c>
      <c r="I30" s="4" t="s">
        <v>617</v>
      </c>
    </row>
    <row r="31" customFormat="false" ht="15" hidden="false" customHeight="true" outlineLevel="0" collapsed="false">
      <c r="A31" s="4" t="s">
        <v>669</v>
      </c>
      <c r="B31" s="4" t="s">
        <v>358</v>
      </c>
      <c r="C31" s="4" t="s">
        <v>443</v>
      </c>
      <c r="D31" s="4" t="s">
        <v>444</v>
      </c>
      <c r="E31" s="4" t="s">
        <v>145</v>
      </c>
      <c r="F31" s="4" t="s">
        <v>602</v>
      </c>
      <c r="G31" s="4" t="s">
        <v>649</v>
      </c>
      <c r="H31" s="4" t="s">
        <v>670</v>
      </c>
      <c r="I31" s="4" t="s">
        <v>620</v>
      </c>
    </row>
    <row r="32" customFormat="false" ht="15" hidden="false" customHeight="true" outlineLevel="0" collapsed="false">
      <c r="A32" s="4" t="s">
        <v>671</v>
      </c>
      <c r="B32" s="4" t="s">
        <v>211</v>
      </c>
      <c r="C32" s="4" t="s">
        <v>301</v>
      </c>
      <c r="D32" s="4" t="s">
        <v>302</v>
      </c>
      <c r="E32" s="4" t="s">
        <v>149</v>
      </c>
      <c r="F32" s="4" t="s">
        <v>602</v>
      </c>
      <c r="G32" s="4" t="s">
        <v>672</v>
      </c>
      <c r="H32" s="4" t="s">
        <v>673</v>
      </c>
      <c r="I32" s="4" t="s">
        <v>605</v>
      </c>
    </row>
    <row r="33" customFormat="false" ht="15" hidden="false" customHeight="true" outlineLevel="0" collapsed="false">
      <c r="A33" s="4" t="s">
        <v>674</v>
      </c>
      <c r="B33" s="4" t="s">
        <v>358</v>
      </c>
      <c r="C33" s="4" t="s">
        <v>447</v>
      </c>
      <c r="D33" s="4" t="s">
        <v>448</v>
      </c>
      <c r="E33" s="4" t="s">
        <v>149</v>
      </c>
      <c r="F33" s="4" t="s">
        <v>602</v>
      </c>
      <c r="G33" s="4" t="s">
        <v>672</v>
      </c>
      <c r="H33" s="4" t="s">
        <v>675</v>
      </c>
      <c r="I33" s="4" t="s">
        <v>608</v>
      </c>
    </row>
    <row r="34" customFormat="false" ht="15" hidden="false" customHeight="true" outlineLevel="0" collapsed="false">
      <c r="A34" s="4" t="s">
        <v>676</v>
      </c>
      <c r="B34" s="4" t="s">
        <v>211</v>
      </c>
      <c r="C34" s="4" t="s">
        <v>305</v>
      </c>
      <c r="D34" s="4" t="s">
        <v>306</v>
      </c>
      <c r="E34" s="4" t="s">
        <v>154</v>
      </c>
      <c r="F34" s="4" t="s">
        <v>602</v>
      </c>
      <c r="G34" s="4" t="s">
        <v>672</v>
      </c>
      <c r="H34" s="4" t="s">
        <v>677</v>
      </c>
      <c r="I34" s="4" t="s">
        <v>611</v>
      </c>
    </row>
    <row r="35" customFormat="false" ht="15" hidden="false" customHeight="true" outlineLevel="0" collapsed="false">
      <c r="A35" s="4" t="s">
        <v>678</v>
      </c>
      <c r="B35" s="4" t="s">
        <v>358</v>
      </c>
      <c r="C35" s="4" t="s">
        <v>451</v>
      </c>
      <c r="D35" s="4" t="s">
        <v>452</v>
      </c>
      <c r="E35" s="4" t="s">
        <v>154</v>
      </c>
      <c r="F35" s="4" t="s">
        <v>602</v>
      </c>
      <c r="G35" s="4" t="s">
        <v>672</v>
      </c>
      <c r="H35" s="4" t="s">
        <v>679</v>
      </c>
      <c r="I35" s="4" t="s">
        <v>614</v>
      </c>
    </row>
    <row r="36" customFormat="false" ht="15" hidden="false" customHeight="true" outlineLevel="0" collapsed="false">
      <c r="A36" s="4" t="s">
        <v>680</v>
      </c>
      <c r="B36" s="4" t="s">
        <v>358</v>
      </c>
      <c r="C36" s="4" t="s">
        <v>459</v>
      </c>
      <c r="D36" s="4" t="s">
        <v>163</v>
      </c>
      <c r="E36" s="4" t="s">
        <v>162</v>
      </c>
      <c r="F36" s="4" t="s">
        <v>602</v>
      </c>
      <c r="G36" s="4" t="s">
        <v>672</v>
      </c>
      <c r="H36" s="4" t="s">
        <v>681</v>
      </c>
      <c r="I36" s="4" t="s">
        <v>617</v>
      </c>
    </row>
    <row r="37" customFormat="false" ht="15" hidden="false" customHeight="true" outlineLevel="0" collapsed="false">
      <c r="A37" s="4" t="s">
        <v>682</v>
      </c>
      <c r="B37" s="4" t="s">
        <v>358</v>
      </c>
      <c r="C37" s="4" t="s">
        <v>462</v>
      </c>
      <c r="D37" s="4" t="s">
        <v>463</v>
      </c>
      <c r="E37" s="4" t="s">
        <v>166</v>
      </c>
      <c r="F37" s="4" t="s">
        <v>602</v>
      </c>
      <c r="G37" s="4" t="s">
        <v>683</v>
      </c>
      <c r="H37" s="4" t="s">
        <v>684</v>
      </c>
      <c r="I37" s="4" t="s">
        <v>620</v>
      </c>
    </row>
    <row r="38" customFormat="false" ht="15" hidden="false" customHeight="true" outlineLevel="0" collapsed="false">
      <c r="A38" s="4" t="s">
        <v>685</v>
      </c>
      <c r="B38" s="4" t="s">
        <v>358</v>
      </c>
      <c r="C38" s="4" t="s">
        <v>466</v>
      </c>
      <c r="D38" s="4" t="s">
        <v>467</v>
      </c>
      <c r="E38" s="4" t="s">
        <v>170</v>
      </c>
      <c r="F38" s="4" t="s">
        <v>602</v>
      </c>
      <c r="G38" s="4" t="s">
        <v>683</v>
      </c>
      <c r="H38" s="4" t="s">
        <v>686</v>
      </c>
      <c r="I38" s="4" t="s">
        <v>605</v>
      </c>
    </row>
    <row r="39" customFormat="false" ht="15" hidden="false" customHeight="true" outlineLevel="0" collapsed="false">
      <c r="A39" s="4" t="s">
        <v>687</v>
      </c>
      <c r="B39" s="4" t="s">
        <v>211</v>
      </c>
      <c r="C39" s="4" t="s">
        <v>325</v>
      </c>
      <c r="D39" s="4" t="s">
        <v>175</v>
      </c>
      <c r="E39" s="4" t="s">
        <v>174</v>
      </c>
      <c r="F39" s="4" t="s">
        <v>602</v>
      </c>
      <c r="G39" s="4" t="s">
        <v>683</v>
      </c>
      <c r="H39" s="4" t="s">
        <v>688</v>
      </c>
      <c r="I39" s="4" t="s">
        <v>608</v>
      </c>
    </row>
    <row r="40" customFormat="false" ht="15" hidden="false" customHeight="true" outlineLevel="0" collapsed="false">
      <c r="A40" s="4" t="s">
        <v>689</v>
      </c>
      <c r="B40" s="4" t="s">
        <v>358</v>
      </c>
      <c r="C40" s="4" t="s">
        <v>470</v>
      </c>
      <c r="D40" s="4" t="s">
        <v>471</v>
      </c>
      <c r="E40" s="4" t="s">
        <v>174</v>
      </c>
      <c r="F40" s="4" t="s">
        <v>602</v>
      </c>
      <c r="G40" s="4" t="s">
        <v>683</v>
      </c>
      <c r="H40" s="4" t="s">
        <v>690</v>
      </c>
      <c r="I40" s="4" t="s">
        <v>611</v>
      </c>
    </row>
    <row r="41" customFormat="false" ht="15" hidden="false" customHeight="true" outlineLevel="0" collapsed="false">
      <c r="A41" s="4" t="s">
        <v>691</v>
      </c>
      <c r="B41" s="4" t="s">
        <v>211</v>
      </c>
      <c r="C41" s="4" t="s">
        <v>328</v>
      </c>
      <c r="D41" s="4" t="s">
        <v>179</v>
      </c>
      <c r="E41" s="4" t="s">
        <v>178</v>
      </c>
      <c r="F41" s="4" t="s">
        <v>602</v>
      </c>
      <c r="G41" s="4" t="s">
        <v>683</v>
      </c>
      <c r="H41" s="4" t="s">
        <v>692</v>
      </c>
      <c r="I41" s="4" t="s">
        <v>614</v>
      </c>
    </row>
    <row r="42" customFormat="false" ht="15" hidden="false" customHeight="true" outlineLevel="0" collapsed="false">
      <c r="A42" s="4" t="s">
        <v>693</v>
      </c>
      <c r="B42" s="4" t="s">
        <v>358</v>
      </c>
      <c r="C42" s="4" t="s">
        <v>474</v>
      </c>
      <c r="D42" s="4" t="s">
        <v>475</v>
      </c>
      <c r="E42" s="4" t="s">
        <v>178</v>
      </c>
      <c r="F42" s="4" t="s">
        <v>602</v>
      </c>
      <c r="G42" s="4" t="s">
        <v>683</v>
      </c>
      <c r="H42" s="4" t="s">
        <v>694</v>
      </c>
      <c r="I42" s="4" t="s">
        <v>617</v>
      </c>
    </row>
    <row r="43" customFormat="false" ht="15" hidden="false" customHeight="true" outlineLevel="0" collapsed="false">
      <c r="A43" s="4" t="s">
        <v>695</v>
      </c>
      <c r="B43" s="4" t="s">
        <v>211</v>
      </c>
      <c r="C43" s="4" t="s">
        <v>331</v>
      </c>
      <c r="D43" s="4" t="s">
        <v>332</v>
      </c>
      <c r="E43" s="4" t="s">
        <v>182</v>
      </c>
      <c r="F43" s="4" t="s">
        <v>602</v>
      </c>
      <c r="G43" s="4" t="s">
        <v>696</v>
      </c>
      <c r="H43" s="4" t="s">
        <v>697</v>
      </c>
      <c r="I43" s="4" t="s">
        <v>620</v>
      </c>
    </row>
    <row r="44" customFormat="false" ht="15" hidden="false" customHeight="true" outlineLevel="0" collapsed="false">
      <c r="A44" s="4" t="s">
        <v>698</v>
      </c>
      <c r="B44" s="4" t="s">
        <v>358</v>
      </c>
      <c r="C44" s="4" t="s">
        <v>477</v>
      </c>
      <c r="D44" s="4" t="s">
        <v>183</v>
      </c>
      <c r="E44" s="4" t="s">
        <v>182</v>
      </c>
      <c r="F44" s="4" t="s">
        <v>602</v>
      </c>
      <c r="G44" s="4" t="s">
        <v>696</v>
      </c>
      <c r="H44" s="4" t="s">
        <v>699</v>
      </c>
      <c r="I44" s="4" t="s">
        <v>605</v>
      </c>
    </row>
    <row r="45" customFormat="false" ht="15" hidden="false" customHeight="true" outlineLevel="0" collapsed="false">
      <c r="A45" s="4" t="s">
        <v>700</v>
      </c>
      <c r="B45" s="4" t="s">
        <v>211</v>
      </c>
      <c r="C45" s="4" t="s">
        <v>335</v>
      </c>
      <c r="D45" s="4" t="s">
        <v>336</v>
      </c>
      <c r="E45" s="4" t="s">
        <v>187</v>
      </c>
      <c r="F45" s="4" t="s">
        <v>602</v>
      </c>
      <c r="G45" s="4" t="s">
        <v>696</v>
      </c>
      <c r="H45" s="4" t="s">
        <v>701</v>
      </c>
      <c r="I45" s="4" t="s">
        <v>608</v>
      </c>
    </row>
    <row r="46" customFormat="false" ht="15" hidden="false" customHeight="true" outlineLevel="0" collapsed="false">
      <c r="A46" s="4" t="s">
        <v>702</v>
      </c>
      <c r="B46" s="4" t="s">
        <v>358</v>
      </c>
      <c r="C46" s="4" t="s">
        <v>480</v>
      </c>
      <c r="D46" s="4" t="s">
        <v>188</v>
      </c>
      <c r="E46" s="4" t="s">
        <v>187</v>
      </c>
      <c r="F46" s="4" t="s">
        <v>602</v>
      </c>
      <c r="G46" s="4" t="s">
        <v>696</v>
      </c>
      <c r="H46" s="4" t="s">
        <v>703</v>
      </c>
      <c r="I46" s="4" t="s">
        <v>611</v>
      </c>
    </row>
    <row r="47" customFormat="false" ht="15" hidden="false" customHeight="true" outlineLevel="0" collapsed="false">
      <c r="A47" s="4" t="s">
        <v>704</v>
      </c>
      <c r="B47" s="4" t="s">
        <v>211</v>
      </c>
      <c r="C47" s="4" t="s">
        <v>339</v>
      </c>
      <c r="D47" s="4" t="s">
        <v>340</v>
      </c>
      <c r="E47" s="4" t="s">
        <v>191</v>
      </c>
      <c r="F47" s="4" t="s">
        <v>602</v>
      </c>
      <c r="G47" s="4" t="s">
        <v>696</v>
      </c>
      <c r="H47" s="4" t="s">
        <v>705</v>
      </c>
      <c r="I47" s="4" t="s">
        <v>614</v>
      </c>
    </row>
    <row r="48" customFormat="false" ht="15" hidden="false" customHeight="true" outlineLevel="0" collapsed="false">
      <c r="A48" s="4" t="s">
        <v>706</v>
      </c>
      <c r="B48" s="4" t="s">
        <v>358</v>
      </c>
      <c r="C48" s="4" t="s">
        <v>483</v>
      </c>
      <c r="D48" s="4" t="s">
        <v>484</v>
      </c>
      <c r="E48" s="4" t="s">
        <v>191</v>
      </c>
      <c r="F48" s="4" t="s">
        <v>602</v>
      </c>
      <c r="G48" s="4" t="s">
        <v>696</v>
      </c>
      <c r="H48" s="4" t="s">
        <v>707</v>
      </c>
      <c r="I48" s="4" t="s">
        <v>617</v>
      </c>
    </row>
    <row r="49" customFormat="false" ht="15" hidden="false" customHeight="true" outlineLevel="0" collapsed="false">
      <c r="A49" s="4" t="s">
        <v>708</v>
      </c>
      <c r="B49" s="4" t="s">
        <v>211</v>
      </c>
      <c r="C49" s="4" t="s">
        <v>343</v>
      </c>
      <c r="D49" s="4" t="s">
        <v>196</v>
      </c>
      <c r="E49" s="4" t="s">
        <v>195</v>
      </c>
      <c r="F49" s="4" t="s">
        <v>602</v>
      </c>
      <c r="G49" s="4" t="s">
        <v>696</v>
      </c>
      <c r="H49" s="4" t="s">
        <v>709</v>
      </c>
      <c r="I49" s="4" t="s">
        <v>620</v>
      </c>
    </row>
    <row r="50" customFormat="false" ht="15" hidden="false" customHeight="true" outlineLevel="0" collapsed="false">
      <c r="A50" s="4" t="s">
        <v>710</v>
      </c>
      <c r="B50" s="4" t="s">
        <v>358</v>
      </c>
      <c r="C50" s="4" t="s">
        <v>487</v>
      </c>
      <c r="D50" s="4" t="s">
        <v>196</v>
      </c>
      <c r="E50" s="4" t="s">
        <v>195</v>
      </c>
      <c r="F50" s="4" t="s">
        <v>602</v>
      </c>
      <c r="G50" s="4" t="s">
        <v>696</v>
      </c>
      <c r="H50" s="4" t="s">
        <v>711</v>
      </c>
      <c r="I50" s="4" t="s">
        <v>605</v>
      </c>
    </row>
    <row r="51" customFormat="false" ht="15" hidden="false" customHeight="true" outlineLevel="0" collapsed="false">
      <c r="A51" s="4" t="s">
        <v>712</v>
      </c>
      <c r="B51" s="4" t="s">
        <v>358</v>
      </c>
      <c r="C51" s="4" t="s">
        <v>490</v>
      </c>
      <c r="D51" s="4" t="s">
        <v>491</v>
      </c>
      <c r="E51" s="4" t="s">
        <v>199</v>
      </c>
      <c r="F51" s="4" t="s">
        <v>602</v>
      </c>
      <c r="G51" s="4" t="s">
        <v>696</v>
      </c>
      <c r="H51" s="4" t="s">
        <v>713</v>
      </c>
      <c r="I51" s="4" t="s">
        <v>608</v>
      </c>
    </row>
    <row r="52" customFormat="false" ht="15" hidden="false" customHeight="true" outlineLevel="0" collapsed="false">
      <c r="A52" s="4" t="s">
        <v>714</v>
      </c>
      <c r="B52" s="4" t="s">
        <v>358</v>
      </c>
      <c r="C52" s="4" t="s">
        <v>494</v>
      </c>
      <c r="D52" s="4" t="s">
        <v>495</v>
      </c>
      <c r="E52" s="4" t="s">
        <v>207</v>
      </c>
      <c r="F52" s="4" t="s">
        <v>602</v>
      </c>
      <c r="G52" s="4" t="s">
        <v>696</v>
      </c>
      <c r="H52" s="4" t="s">
        <v>715</v>
      </c>
      <c r="I52" s="4" t="s">
        <v>614</v>
      </c>
    </row>
    <row r="53" customFormat="false" ht="15" hidden="false" customHeight="true" outlineLevel="0" collapsed="false">
      <c r="A53" s="4" t="s">
        <v>716</v>
      </c>
      <c r="B53" s="4" t="s">
        <v>502</v>
      </c>
      <c r="C53" s="4" t="s">
        <v>503</v>
      </c>
      <c r="D53" s="4" t="s">
        <v>504</v>
      </c>
      <c r="E53" s="4" t="s">
        <v>37</v>
      </c>
      <c r="F53" s="4" t="s">
        <v>602</v>
      </c>
      <c r="G53" s="4" t="s">
        <v>603</v>
      </c>
      <c r="H53" s="4" t="s">
        <v>717</v>
      </c>
      <c r="I53" s="4" t="s">
        <v>617</v>
      </c>
    </row>
    <row r="54" customFormat="false" ht="15" hidden="false" customHeight="true" outlineLevel="0" collapsed="false">
      <c r="A54" s="4" t="s">
        <v>718</v>
      </c>
      <c r="B54" s="4" t="s">
        <v>502</v>
      </c>
      <c r="C54" s="4" t="s">
        <v>515</v>
      </c>
      <c r="D54" s="4" t="s">
        <v>183</v>
      </c>
      <c r="E54" s="4" t="s">
        <v>182</v>
      </c>
      <c r="F54" s="4" t="s">
        <v>602</v>
      </c>
      <c r="G54" s="4" t="s">
        <v>696</v>
      </c>
      <c r="H54" s="4" t="s">
        <v>719</v>
      </c>
      <c r="I54" s="4" t="s">
        <v>620</v>
      </c>
    </row>
    <row r="55" customFormat="false" ht="15" hidden="false" customHeight="true" outlineLevel="0" collapsed="false">
      <c r="A55" s="4" t="s">
        <v>720</v>
      </c>
      <c r="B55" s="4" t="s">
        <v>502</v>
      </c>
      <c r="C55" s="4" t="s">
        <v>518</v>
      </c>
      <c r="D55" s="4" t="s">
        <v>188</v>
      </c>
      <c r="E55" s="4" t="s">
        <v>187</v>
      </c>
      <c r="F55" s="4" t="s">
        <v>602</v>
      </c>
      <c r="G55" s="4" t="s">
        <v>696</v>
      </c>
      <c r="H55" s="4" t="s">
        <v>721</v>
      </c>
      <c r="I55" s="4" t="s">
        <v>605</v>
      </c>
    </row>
    <row r="56" customFormat="false" ht="15" hidden="false" customHeight="true" outlineLevel="0" collapsed="false">
      <c r="A56" s="4" t="s">
        <v>722</v>
      </c>
      <c r="B56" s="4" t="s">
        <v>502</v>
      </c>
      <c r="C56" s="4" t="s">
        <v>525</v>
      </c>
      <c r="D56" s="4" t="s">
        <v>256</v>
      </c>
      <c r="E56" s="4" t="s">
        <v>87</v>
      </c>
      <c r="F56" s="4" t="s">
        <v>602</v>
      </c>
      <c r="G56" s="4" t="s">
        <v>628</v>
      </c>
      <c r="H56" s="4" t="s">
        <v>723</v>
      </c>
      <c r="I56" s="4" t="s">
        <v>608</v>
      </c>
    </row>
    <row r="57" customFormat="false" ht="15" hidden="false" customHeight="true" outlineLevel="0" collapsed="false">
      <c r="A57" s="4" t="s">
        <v>724</v>
      </c>
      <c r="B57" s="4" t="s">
        <v>502</v>
      </c>
      <c r="C57" s="4" t="s">
        <v>528</v>
      </c>
      <c r="D57" s="4" t="s">
        <v>260</v>
      </c>
      <c r="E57" s="4" t="s">
        <v>92</v>
      </c>
      <c r="F57" s="4" t="s">
        <v>602</v>
      </c>
      <c r="G57" s="4" t="s">
        <v>628</v>
      </c>
      <c r="H57" s="4" t="s">
        <v>725</v>
      </c>
      <c r="I57" s="4" t="s">
        <v>611</v>
      </c>
    </row>
    <row r="58" customFormat="false" ht="15" hidden="false" customHeight="true" outlineLevel="0" collapsed="false">
      <c r="A58" s="4" t="s">
        <v>726</v>
      </c>
      <c r="B58" s="4" t="s">
        <v>502</v>
      </c>
      <c r="C58" s="4" t="s">
        <v>531</v>
      </c>
      <c r="D58" s="4" t="s">
        <v>532</v>
      </c>
      <c r="E58" s="4" t="s">
        <v>112</v>
      </c>
      <c r="F58" s="4" t="s">
        <v>602</v>
      </c>
      <c r="G58" s="4" t="s">
        <v>649</v>
      </c>
      <c r="H58" s="4" t="s">
        <v>727</v>
      </c>
      <c r="I58" s="4" t="s">
        <v>614</v>
      </c>
    </row>
    <row r="59" customFormat="false" ht="15" hidden="false" customHeight="true" outlineLevel="0" collapsed="false">
      <c r="A59" s="4" t="s">
        <v>728</v>
      </c>
      <c r="B59" s="4" t="s">
        <v>502</v>
      </c>
      <c r="C59" s="4" t="s">
        <v>539</v>
      </c>
      <c r="D59" s="4" t="s">
        <v>540</v>
      </c>
      <c r="E59" s="4" t="s">
        <v>149</v>
      </c>
      <c r="F59" s="4" t="s">
        <v>602</v>
      </c>
      <c r="G59" s="4" t="s">
        <v>672</v>
      </c>
      <c r="H59" s="4" t="s">
        <v>729</v>
      </c>
      <c r="I59" s="4" t="s">
        <v>617</v>
      </c>
    </row>
    <row r="60" customFormat="false" ht="15" hidden="false" customHeight="true" outlineLevel="0" collapsed="false">
      <c r="A60" s="4" t="s">
        <v>730</v>
      </c>
      <c r="B60" s="4" t="s">
        <v>502</v>
      </c>
      <c r="C60" s="4" t="s">
        <v>543</v>
      </c>
      <c r="D60" s="4" t="s">
        <v>544</v>
      </c>
      <c r="E60" s="4" t="s">
        <v>166</v>
      </c>
      <c r="F60" s="4" t="s">
        <v>602</v>
      </c>
      <c r="G60" s="4" t="s">
        <v>683</v>
      </c>
      <c r="H60" s="4" t="s">
        <v>731</v>
      </c>
      <c r="I60" s="4" t="s">
        <v>620</v>
      </c>
    </row>
    <row r="61" customFormat="false" ht="15" hidden="false" customHeight="true" outlineLevel="0" collapsed="false">
      <c r="A61" s="4" t="s">
        <v>732</v>
      </c>
      <c r="B61" s="4" t="s">
        <v>502</v>
      </c>
      <c r="C61" s="4" t="s">
        <v>546</v>
      </c>
      <c r="D61" s="4" t="s">
        <v>547</v>
      </c>
      <c r="E61" s="4"/>
      <c r="F61" s="4" t="s">
        <v>733</v>
      </c>
      <c r="G61" s="4" t="s">
        <v>734</v>
      </c>
      <c r="H61" s="4" t="s">
        <v>604</v>
      </c>
      <c r="I61" s="4" t="s">
        <v>605</v>
      </c>
    </row>
    <row r="62" customFormat="false" ht="15" hidden="false" customHeight="true" outlineLevel="0" collapsed="false">
      <c r="A62" s="4" t="s">
        <v>735</v>
      </c>
      <c r="B62" s="4" t="s">
        <v>555</v>
      </c>
      <c r="C62" s="4" t="s">
        <v>560</v>
      </c>
      <c r="D62" s="4" t="s">
        <v>561</v>
      </c>
      <c r="E62" s="4" t="s">
        <v>182</v>
      </c>
      <c r="F62" s="4" t="s">
        <v>602</v>
      </c>
      <c r="G62" s="4" t="s">
        <v>696</v>
      </c>
      <c r="H62" s="4" t="s">
        <v>607</v>
      </c>
      <c r="I62" s="4" t="s">
        <v>608</v>
      </c>
    </row>
    <row r="63" customFormat="false" ht="15" hidden="false" customHeight="true" outlineLevel="0" collapsed="false">
      <c r="A63" s="4" t="s">
        <v>736</v>
      </c>
      <c r="B63" s="4" t="s">
        <v>555</v>
      </c>
      <c r="C63" s="4" t="s">
        <v>589</v>
      </c>
      <c r="D63" s="4" t="s">
        <v>532</v>
      </c>
      <c r="E63" s="4" t="s">
        <v>112</v>
      </c>
      <c r="F63" s="4" t="s">
        <v>602</v>
      </c>
      <c r="G63" s="4" t="s">
        <v>649</v>
      </c>
      <c r="H63" s="4" t="s">
        <v>610</v>
      </c>
      <c r="I63" s="4" t="s">
        <v>611</v>
      </c>
    </row>
  </sheetData>
  <autoFilter ref="A1:I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26"/>
    <col collapsed="false" customWidth="true" hidden="false" outlineLevel="0" max="7" min="7" style="1" width="6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0"/>
  </cols>
  <sheetData>
    <row r="1" customFormat="false" ht="51.75" hidden="false" customHeight="true" outlineLevel="0" collapsed="false">
      <c r="A1" s="5" t="s">
        <v>737</v>
      </c>
      <c r="B1" s="5" t="s">
        <v>26</v>
      </c>
      <c r="C1" s="5" t="s">
        <v>27</v>
      </c>
      <c r="D1" s="5" t="s">
        <v>738</v>
      </c>
      <c r="E1" s="5" t="s">
        <v>739</v>
      </c>
      <c r="F1" s="5" t="s">
        <v>740</v>
      </c>
      <c r="G1" s="5" t="s">
        <v>741</v>
      </c>
      <c r="H1" s="5" t="s">
        <v>31</v>
      </c>
      <c r="I1" s="5" t="s">
        <v>742</v>
      </c>
      <c r="J1" s="5" t="s">
        <v>600</v>
      </c>
      <c r="K1" s="5" t="s">
        <v>743</v>
      </c>
    </row>
    <row r="2" customFormat="false" ht="23.25" hidden="false" customHeight="true" outlineLevel="0" collapsed="false">
      <c r="A2" s="4" t="s">
        <v>744</v>
      </c>
      <c r="B2" s="4" t="s">
        <v>211</v>
      </c>
      <c r="C2" s="4" t="s">
        <v>216</v>
      </c>
      <c r="D2" s="4" t="s">
        <v>45</v>
      </c>
      <c r="E2" s="4" t="s">
        <v>745</v>
      </c>
      <c r="F2" s="4" t="s">
        <v>746</v>
      </c>
      <c r="G2" s="4" t="s">
        <v>747</v>
      </c>
      <c r="H2" s="4" t="s">
        <v>40</v>
      </c>
      <c r="I2" s="4" t="s">
        <v>748</v>
      </c>
      <c r="J2" s="4" t="s">
        <v>605</v>
      </c>
      <c r="K2" s="4" t="n">
        <v>9</v>
      </c>
    </row>
    <row r="3" customFormat="false" ht="15" hidden="false" customHeight="true" outlineLevel="0" collapsed="false">
      <c r="A3" s="4" t="s">
        <v>749</v>
      </c>
      <c r="B3" s="4" t="s">
        <v>211</v>
      </c>
      <c r="C3" s="4" t="s">
        <v>750</v>
      </c>
      <c r="D3" s="4" t="s">
        <v>45</v>
      </c>
      <c r="E3" s="4" t="s">
        <v>602</v>
      </c>
      <c r="F3" s="4" t="s">
        <v>45</v>
      </c>
      <c r="G3" s="4" t="s">
        <v>751</v>
      </c>
      <c r="H3" s="4" t="s">
        <v>40</v>
      </c>
      <c r="I3" s="4" t="s">
        <v>619</v>
      </c>
      <c r="J3" s="4" t="s">
        <v>608</v>
      </c>
      <c r="K3" s="4" t="n">
        <v>14</v>
      </c>
    </row>
    <row r="4" customFormat="false" ht="15" hidden="false" customHeight="true" outlineLevel="0" collapsed="false">
      <c r="A4" s="4" t="s">
        <v>752</v>
      </c>
      <c r="B4" s="4" t="s">
        <v>211</v>
      </c>
      <c r="C4" s="4" t="s">
        <v>343</v>
      </c>
      <c r="D4" s="4" t="s">
        <v>63</v>
      </c>
      <c r="E4" s="4" t="s">
        <v>602</v>
      </c>
      <c r="F4" s="4" t="s">
        <v>195</v>
      </c>
      <c r="G4" s="4" t="s">
        <v>753</v>
      </c>
      <c r="H4" s="4" t="s">
        <v>40</v>
      </c>
      <c r="I4" s="4" t="s">
        <v>754</v>
      </c>
      <c r="J4" s="4" t="s">
        <v>611</v>
      </c>
      <c r="K4" s="4" t="n">
        <v>21</v>
      </c>
    </row>
    <row r="5" customFormat="false" ht="15" hidden="false" customHeight="true" outlineLevel="0" collapsed="false">
      <c r="A5" s="4" t="s">
        <v>755</v>
      </c>
      <c r="B5" s="4" t="s">
        <v>358</v>
      </c>
      <c r="C5" s="4" t="s">
        <v>487</v>
      </c>
      <c r="D5" s="4" t="s">
        <v>63</v>
      </c>
      <c r="E5" s="4" t="s">
        <v>602</v>
      </c>
      <c r="F5" s="4" t="s">
        <v>195</v>
      </c>
      <c r="G5" s="4" t="s">
        <v>756</v>
      </c>
      <c r="H5" s="4" t="s">
        <v>40</v>
      </c>
      <c r="I5" s="4" t="s">
        <v>757</v>
      </c>
      <c r="J5" s="4" t="s">
        <v>614</v>
      </c>
      <c r="K5" s="4" t="n">
        <v>31</v>
      </c>
    </row>
    <row r="6" customFormat="false" ht="23.25" hidden="false" customHeight="true" outlineLevel="0" collapsed="false">
      <c r="A6" s="4" t="s">
        <v>758</v>
      </c>
      <c r="B6" s="4" t="s">
        <v>211</v>
      </c>
      <c r="C6" s="4" t="s">
        <v>354</v>
      </c>
      <c r="D6" s="4" t="s">
        <v>71</v>
      </c>
      <c r="E6" s="4" t="s">
        <v>745</v>
      </c>
      <c r="F6" s="4" t="s">
        <v>759</v>
      </c>
      <c r="G6" s="4" t="s">
        <v>760</v>
      </c>
      <c r="H6" s="4" t="s">
        <v>40</v>
      </c>
      <c r="I6" s="4" t="s">
        <v>761</v>
      </c>
      <c r="J6" s="4" t="s">
        <v>617</v>
      </c>
      <c r="K6" s="4" t="n">
        <v>12</v>
      </c>
    </row>
    <row r="7" customFormat="false" ht="15" hidden="false" customHeight="true" outlineLevel="0" collapsed="false">
      <c r="A7" s="4" t="s">
        <v>762</v>
      </c>
      <c r="B7" s="4" t="s">
        <v>358</v>
      </c>
      <c r="C7" s="4" t="s">
        <v>494</v>
      </c>
      <c r="D7" s="4" t="s">
        <v>71</v>
      </c>
      <c r="E7" s="4" t="s">
        <v>602</v>
      </c>
      <c r="F7" s="4" t="s">
        <v>207</v>
      </c>
      <c r="G7" s="4" t="s">
        <v>763</v>
      </c>
      <c r="H7" s="4" t="s">
        <v>40</v>
      </c>
      <c r="I7" s="4" t="s">
        <v>764</v>
      </c>
      <c r="J7" s="4" t="s">
        <v>620</v>
      </c>
      <c r="K7" s="4" t="n">
        <v>45</v>
      </c>
    </row>
    <row r="8" customFormat="false" ht="15" hidden="false" customHeight="true" outlineLevel="0" collapsed="false">
      <c r="A8" s="4" t="s">
        <v>765</v>
      </c>
      <c r="B8" s="4" t="s">
        <v>211</v>
      </c>
      <c r="C8" s="4" t="s">
        <v>243</v>
      </c>
      <c r="D8" s="4" t="s">
        <v>75</v>
      </c>
      <c r="E8" s="4" t="s">
        <v>733</v>
      </c>
      <c r="F8" s="4" t="s">
        <v>766</v>
      </c>
      <c r="G8" s="4" t="s">
        <v>767</v>
      </c>
      <c r="H8" s="4" t="s">
        <v>40</v>
      </c>
      <c r="I8" s="4" t="s">
        <v>768</v>
      </c>
      <c r="J8" s="4" t="s">
        <v>605</v>
      </c>
      <c r="K8" s="4" t="n">
        <v>18</v>
      </c>
    </row>
    <row r="9" customFormat="false" ht="15" hidden="false" customHeight="true" outlineLevel="0" collapsed="false">
      <c r="A9" s="4" t="s">
        <v>769</v>
      </c>
      <c r="B9" s="4" t="s">
        <v>211</v>
      </c>
      <c r="C9" s="4" t="s">
        <v>239</v>
      </c>
      <c r="D9" s="4" t="s">
        <v>79</v>
      </c>
      <c r="E9" s="4" t="s">
        <v>733</v>
      </c>
      <c r="F9" s="4" t="s">
        <v>766</v>
      </c>
      <c r="G9" s="4" t="s">
        <v>767</v>
      </c>
      <c r="H9" s="4" t="s">
        <v>40</v>
      </c>
      <c r="I9" s="4" t="s">
        <v>770</v>
      </c>
      <c r="J9" s="4" t="s">
        <v>608</v>
      </c>
      <c r="K9" s="4" t="n">
        <v>27</v>
      </c>
    </row>
    <row r="10" customFormat="false" ht="15" hidden="false" customHeight="true" outlineLevel="0" collapsed="false">
      <c r="A10" s="4" t="s">
        <v>771</v>
      </c>
      <c r="B10" s="4" t="s">
        <v>358</v>
      </c>
      <c r="C10" s="4" t="s">
        <v>371</v>
      </c>
      <c r="D10" s="4" t="s">
        <v>83</v>
      </c>
      <c r="E10" s="4" t="s">
        <v>733</v>
      </c>
      <c r="F10" s="4" t="s">
        <v>766</v>
      </c>
      <c r="G10" s="4" t="s">
        <v>767</v>
      </c>
      <c r="H10" s="4" t="s">
        <v>40</v>
      </c>
      <c r="I10" s="4" t="s">
        <v>616</v>
      </c>
      <c r="J10" s="4" t="s">
        <v>611</v>
      </c>
      <c r="K10" s="4" t="n">
        <v>8</v>
      </c>
    </row>
    <row r="11" customFormat="false" ht="15" hidden="false" customHeight="true" outlineLevel="0" collapsed="false">
      <c r="A11" s="4" t="s">
        <v>772</v>
      </c>
      <c r="B11" s="4" t="s">
        <v>211</v>
      </c>
      <c r="C11" s="4" t="s">
        <v>275</v>
      </c>
      <c r="D11" s="4" t="s">
        <v>108</v>
      </c>
      <c r="E11" s="4" t="s">
        <v>745</v>
      </c>
      <c r="F11" s="4" t="s">
        <v>773</v>
      </c>
      <c r="G11" s="4" t="s">
        <v>774</v>
      </c>
      <c r="H11" s="4" t="s">
        <v>40</v>
      </c>
      <c r="I11" s="4" t="s">
        <v>775</v>
      </c>
      <c r="J11" s="4" t="s">
        <v>614</v>
      </c>
      <c r="K11" s="4" t="n">
        <v>38</v>
      </c>
    </row>
    <row r="12" customFormat="false" ht="15" hidden="false" customHeight="true" outlineLevel="0" collapsed="false">
      <c r="A12" s="4" t="s">
        <v>776</v>
      </c>
      <c r="B12" s="4" t="s">
        <v>358</v>
      </c>
      <c r="C12" s="4" t="s">
        <v>405</v>
      </c>
      <c r="D12" s="4" t="s">
        <v>108</v>
      </c>
      <c r="E12" s="4" t="s">
        <v>602</v>
      </c>
      <c r="F12" s="4" t="s">
        <v>108</v>
      </c>
      <c r="G12" s="4" t="s">
        <v>777</v>
      </c>
      <c r="H12" s="4" t="s">
        <v>40</v>
      </c>
      <c r="I12" s="4" t="s">
        <v>778</v>
      </c>
      <c r="J12" s="4" t="s">
        <v>617</v>
      </c>
      <c r="K12" s="4" t="n">
        <v>9</v>
      </c>
    </row>
    <row r="13" customFormat="false" ht="15" hidden="false" customHeight="true" outlineLevel="0" collapsed="false">
      <c r="A13" s="4" t="s">
        <v>779</v>
      </c>
      <c r="B13" s="4" t="s">
        <v>211</v>
      </c>
      <c r="C13" s="4" t="s">
        <v>283</v>
      </c>
      <c r="D13" s="4" t="s">
        <v>117</v>
      </c>
      <c r="E13" s="4" t="s">
        <v>745</v>
      </c>
      <c r="F13" s="4" t="s">
        <v>780</v>
      </c>
      <c r="G13" s="4" t="s">
        <v>781</v>
      </c>
      <c r="H13" s="4" t="s">
        <v>40</v>
      </c>
      <c r="I13" s="4" t="s">
        <v>782</v>
      </c>
      <c r="J13" s="4" t="s">
        <v>620</v>
      </c>
      <c r="K13" s="4" t="n">
        <v>14</v>
      </c>
    </row>
    <row r="14" customFormat="false" ht="15" hidden="false" customHeight="true" outlineLevel="0" collapsed="false">
      <c r="A14" s="4" t="s">
        <v>783</v>
      </c>
      <c r="B14" s="4" t="s">
        <v>358</v>
      </c>
      <c r="C14" s="4" t="s">
        <v>413</v>
      </c>
      <c r="D14" s="4" t="s">
        <v>117</v>
      </c>
      <c r="E14" s="4" t="s">
        <v>745</v>
      </c>
      <c r="F14" s="4" t="s">
        <v>780</v>
      </c>
      <c r="G14" s="4" t="s">
        <v>784</v>
      </c>
      <c r="H14" s="4" t="s">
        <v>40</v>
      </c>
      <c r="I14" s="4" t="s">
        <v>785</v>
      </c>
      <c r="J14" s="4" t="s">
        <v>605</v>
      </c>
      <c r="K14" s="4" t="n">
        <v>21</v>
      </c>
    </row>
    <row r="15" customFormat="false" ht="15" hidden="false" customHeight="true" outlineLevel="0" collapsed="false">
      <c r="A15" s="4" t="s">
        <v>786</v>
      </c>
      <c r="B15" s="4" t="s">
        <v>358</v>
      </c>
      <c r="C15" s="4" t="s">
        <v>417</v>
      </c>
      <c r="D15" s="4" t="s">
        <v>117</v>
      </c>
      <c r="E15" s="4" t="s">
        <v>602</v>
      </c>
      <c r="F15" s="4" t="s">
        <v>117</v>
      </c>
      <c r="G15" s="4" t="s">
        <v>787</v>
      </c>
      <c r="H15" s="4" t="s">
        <v>40</v>
      </c>
      <c r="I15" s="4" t="s">
        <v>788</v>
      </c>
      <c r="J15" s="4" t="s">
        <v>608</v>
      </c>
      <c r="K15" s="4" t="n">
        <v>31</v>
      </c>
    </row>
    <row r="16" customFormat="false" ht="15" hidden="false" customHeight="true" outlineLevel="0" collapsed="false">
      <c r="A16" s="4" t="s">
        <v>789</v>
      </c>
      <c r="B16" s="4" t="s">
        <v>358</v>
      </c>
      <c r="C16" s="4" t="s">
        <v>425</v>
      </c>
      <c r="D16" s="4" t="s">
        <v>121</v>
      </c>
      <c r="E16" s="4" t="s">
        <v>745</v>
      </c>
      <c r="F16" s="4" t="s">
        <v>780</v>
      </c>
      <c r="G16" s="4" t="s">
        <v>790</v>
      </c>
      <c r="H16" s="4" t="s">
        <v>40</v>
      </c>
      <c r="I16" s="4" t="s">
        <v>791</v>
      </c>
      <c r="J16" s="4" t="s">
        <v>611</v>
      </c>
      <c r="K16" s="4" t="n">
        <v>12</v>
      </c>
    </row>
    <row r="17" customFormat="false" ht="15" hidden="false" customHeight="true" outlineLevel="0" collapsed="false">
      <c r="A17" s="4" t="s">
        <v>792</v>
      </c>
      <c r="B17" s="4" t="s">
        <v>358</v>
      </c>
      <c r="C17" s="4" t="s">
        <v>455</v>
      </c>
      <c r="D17" s="4" t="s">
        <v>158</v>
      </c>
      <c r="E17" s="4" t="s">
        <v>602</v>
      </c>
      <c r="F17" s="4" t="s">
        <v>158</v>
      </c>
      <c r="G17" s="4" t="s">
        <v>793</v>
      </c>
      <c r="H17" s="4" t="s">
        <v>40</v>
      </c>
      <c r="I17" s="4" t="s">
        <v>794</v>
      </c>
      <c r="J17" s="4" t="s">
        <v>614</v>
      </c>
      <c r="K17" s="4" t="n">
        <v>45</v>
      </c>
    </row>
    <row r="18" customFormat="false" ht="15" hidden="false" customHeight="true" outlineLevel="0" collapsed="false">
      <c r="A18" s="4" t="s">
        <v>795</v>
      </c>
      <c r="B18" s="4" t="s">
        <v>211</v>
      </c>
      <c r="C18" s="4" t="s">
        <v>313</v>
      </c>
      <c r="D18" s="4" t="s">
        <v>162</v>
      </c>
      <c r="E18" s="4" t="s">
        <v>602</v>
      </c>
      <c r="F18" s="4" t="s">
        <v>162</v>
      </c>
      <c r="G18" s="4" t="s">
        <v>796</v>
      </c>
      <c r="H18" s="4" t="s">
        <v>40</v>
      </c>
      <c r="I18" s="4" t="s">
        <v>797</v>
      </c>
      <c r="J18" s="4" t="s">
        <v>617</v>
      </c>
      <c r="K18" s="4" t="n">
        <v>18</v>
      </c>
    </row>
    <row r="19" customFormat="false" ht="23.25" hidden="false" customHeight="true" outlineLevel="0" collapsed="false">
      <c r="A19" s="4" t="s">
        <v>798</v>
      </c>
      <c r="B19" s="4" t="s">
        <v>211</v>
      </c>
      <c r="C19" s="4" t="s">
        <v>321</v>
      </c>
      <c r="D19" s="4" t="s">
        <v>166</v>
      </c>
      <c r="E19" s="4" t="s">
        <v>602</v>
      </c>
      <c r="F19" s="4" t="s">
        <v>166</v>
      </c>
      <c r="G19" s="4" t="s">
        <v>799</v>
      </c>
      <c r="H19" s="4" t="s">
        <v>40</v>
      </c>
      <c r="I19" s="4" t="s">
        <v>800</v>
      </c>
      <c r="J19" s="4" t="s">
        <v>620</v>
      </c>
      <c r="K19" s="4" t="n">
        <v>27</v>
      </c>
    </row>
    <row r="20" customFormat="false" ht="15" hidden="false" customHeight="true" outlineLevel="0" collapsed="false">
      <c r="A20" s="4" t="s">
        <v>801</v>
      </c>
      <c r="B20" s="4" t="s">
        <v>211</v>
      </c>
      <c r="C20" s="4" t="s">
        <v>346</v>
      </c>
      <c r="D20" s="4" t="s">
        <v>199</v>
      </c>
      <c r="E20" s="4" t="s">
        <v>602</v>
      </c>
      <c r="F20" s="4" t="s">
        <v>199</v>
      </c>
      <c r="G20" s="4" t="s">
        <v>802</v>
      </c>
      <c r="H20" s="4" t="s">
        <v>40</v>
      </c>
      <c r="I20" s="4" t="s">
        <v>803</v>
      </c>
      <c r="J20" s="4" t="s">
        <v>605</v>
      </c>
      <c r="K20" s="4" t="n">
        <v>8</v>
      </c>
    </row>
    <row r="21" customFormat="false" ht="15" hidden="false" customHeight="true" outlineLevel="0" collapsed="false">
      <c r="A21" s="4" t="s">
        <v>804</v>
      </c>
      <c r="B21" s="4" t="s">
        <v>211</v>
      </c>
      <c r="C21" s="4" t="s">
        <v>350</v>
      </c>
      <c r="D21" s="4" t="s">
        <v>203</v>
      </c>
      <c r="E21" s="4" t="s">
        <v>745</v>
      </c>
      <c r="F21" s="4" t="s">
        <v>759</v>
      </c>
      <c r="G21" s="4" t="s">
        <v>805</v>
      </c>
      <c r="H21" s="4" t="s">
        <v>40</v>
      </c>
      <c r="I21" s="4" t="s">
        <v>806</v>
      </c>
      <c r="J21" s="4" t="s">
        <v>608</v>
      </c>
      <c r="K21" s="4" t="n">
        <v>38</v>
      </c>
    </row>
    <row r="22" customFormat="false" ht="15" hidden="false" customHeight="true" outlineLevel="0" collapsed="false">
      <c r="A22" s="4" t="s">
        <v>807</v>
      </c>
      <c r="B22" s="4" t="s">
        <v>211</v>
      </c>
      <c r="C22" s="4" t="s">
        <v>354</v>
      </c>
      <c r="D22" s="4" t="s">
        <v>207</v>
      </c>
      <c r="E22" s="4" t="s">
        <v>745</v>
      </c>
      <c r="F22" s="4" t="s">
        <v>759</v>
      </c>
      <c r="G22" s="4" t="s">
        <v>808</v>
      </c>
      <c r="H22" s="4" t="s">
        <v>40</v>
      </c>
      <c r="I22" s="4" t="s">
        <v>809</v>
      </c>
      <c r="J22" s="4" t="s">
        <v>611</v>
      </c>
      <c r="K22" s="4" t="n">
        <v>9</v>
      </c>
    </row>
    <row r="23" customFormat="false" ht="15" hidden="false" customHeight="true" outlineLevel="0" collapsed="false">
      <c r="A23" s="4" t="s">
        <v>810</v>
      </c>
      <c r="B23" s="4" t="s">
        <v>211</v>
      </c>
      <c r="C23" s="4" t="s">
        <v>297</v>
      </c>
      <c r="D23" s="4" t="s">
        <v>811</v>
      </c>
      <c r="E23" s="4" t="s">
        <v>733</v>
      </c>
      <c r="F23" s="4" t="s">
        <v>780</v>
      </c>
      <c r="G23" s="4" t="s">
        <v>812</v>
      </c>
      <c r="H23" s="4" t="s">
        <v>40</v>
      </c>
      <c r="I23" s="4" t="s">
        <v>813</v>
      </c>
      <c r="J23" s="4" t="s">
        <v>614</v>
      </c>
      <c r="K23" s="4" t="n">
        <v>14</v>
      </c>
    </row>
    <row r="24" customFormat="false" ht="15" hidden="false" customHeight="true" outlineLevel="0" collapsed="false">
      <c r="A24" s="4" t="s">
        <v>814</v>
      </c>
      <c r="B24" s="4" t="s">
        <v>211</v>
      </c>
      <c r="C24" s="4" t="s">
        <v>251</v>
      </c>
      <c r="D24" s="4" t="s">
        <v>811</v>
      </c>
      <c r="E24" s="4" t="s">
        <v>733</v>
      </c>
      <c r="F24" s="4" t="s">
        <v>815</v>
      </c>
      <c r="G24" s="4" t="s">
        <v>816</v>
      </c>
      <c r="H24" s="4" t="s">
        <v>40</v>
      </c>
      <c r="I24" s="4" t="s">
        <v>817</v>
      </c>
      <c r="J24" s="4" t="s">
        <v>617</v>
      </c>
      <c r="K24" s="4" t="n">
        <v>21</v>
      </c>
    </row>
    <row r="25" customFormat="false" ht="15" hidden="false" customHeight="true" outlineLevel="0" collapsed="false">
      <c r="A25" s="4" t="s">
        <v>818</v>
      </c>
      <c r="B25" s="4" t="s">
        <v>211</v>
      </c>
      <c r="C25" s="4" t="s">
        <v>247</v>
      </c>
      <c r="D25" s="4" t="s">
        <v>811</v>
      </c>
      <c r="E25" s="4" t="s">
        <v>733</v>
      </c>
      <c r="F25" s="4" t="s">
        <v>815</v>
      </c>
      <c r="G25" s="4" t="s">
        <v>816</v>
      </c>
      <c r="H25" s="4" t="s">
        <v>40</v>
      </c>
      <c r="I25" s="4" t="s">
        <v>819</v>
      </c>
      <c r="J25" s="4" t="s">
        <v>620</v>
      </c>
      <c r="K25" s="4" t="n">
        <v>31</v>
      </c>
    </row>
    <row r="26" customFormat="false" ht="15" hidden="false" customHeight="true" outlineLevel="0" collapsed="false">
      <c r="A26" s="4" t="s">
        <v>820</v>
      </c>
      <c r="B26" s="4" t="s">
        <v>211</v>
      </c>
      <c r="C26" s="4" t="s">
        <v>309</v>
      </c>
      <c r="D26" s="4" t="s">
        <v>811</v>
      </c>
      <c r="E26" s="4" t="s">
        <v>733</v>
      </c>
      <c r="F26" s="4" t="s">
        <v>821</v>
      </c>
      <c r="G26" s="4" t="s">
        <v>816</v>
      </c>
      <c r="H26" s="4" t="s">
        <v>40</v>
      </c>
      <c r="I26" s="4" t="s">
        <v>822</v>
      </c>
      <c r="J26" s="4" t="s">
        <v>605</v>
      </c>
      <c r="K26" s="4" t="n">
        <v>12</v>
      </c>
    </row>
    <row r="27" customFormat="false" ht="15" hidden="false" customHeight="true" outlineLevel="0" collapsed="false">
      <c r="A27" s="4" t="s">
        <v>823</v>
      </c>
      <c r="B27" s="4" t="s">
        <v>502</v>
      </c>
      <c r="C27" s="4" t="s">
        <v>511</v>
      </c>
      <c r="D27" s="4" t="s">
        <v>49</v>
      </c>
      <c r="E27" s="4" t="s">
        <v>745</v>
      </c>
      <c r="F27" s="4" t="s">
        <v>746</v>
      </c>
      <c r="G27" s="4" t="s">
        <v>824</v>
      </c>
      <c r="H27" s="4" t="s">
        <v>40</v>
      </c>
      <c r="I27" s="4" t="s">
        <v>825</v>
      </c>
      <c r="J27" s="4" t="s">
        <v>608</v>
      </c>
      <c r="K27" s="4" t="n">
        <v>45</v>
      </c>
    </row>
    <row r="28" customFormat="false" ht="15" hidden="false" customHeight="true" outlineLevel="0" collapsed="false">
      <c r="A28" s="4" t="s">
        <v>826</v>
      </c>
      <c r="B28" s="4" t="s">
        <v>502</v>
      </c>
      <c r="C28" s="4" t="s">
        <v>521</v>
      </c>
      <c r="D28" s="4" t="s">
        <v>104</v>
      </c>
      <c r="E28" s="4" t="s">
        <v>733</v>
      </c>
      <c r="F28" s="4" t="s">
        <v>759</v>
      </c>
      <c r="G28" s="4" t="s">
        <v>827</v>
      </c>
      <c r="H28" s="4" t="s">
        <v>40</v>
      </c>
      <c r="I28" s="4" t="s">
        <v>828</v>
      </c>
      <c r="J28" s="4" t="s">
        <v>611</v>
      </c>
      <c r="K28" s="4" t="n">
        <v>18</v>
      </c>
    </row>
    <row r="29" customFormat="false" ht="15" hidden="false" customHeight="true" outlineLevel="0" collapsed="false">
      <c r="A29" s="4" t="s">
        <v>829</v>
      </c>
      <c r="B29" s="4" t="s">
        <v>502</v>
      </c>
      <c r="C29" s="4" t="s">
        <v>551</v>
      </c>
      <c r="D29" s="4" t="s">
        <v>811</v>
      </c>
      <c r="E29" s="4" t="s">
        <v>830</v>
      </c>
      <c r="F29" s="4" t="s">
        <v>811</v>
      </c>
      <c r="G29" s="4" t="s">
        <v>831</v>
      </c>
      <c r="H29" s="4" t="s">
        <v>40</v>
      </c>
      <c r="I29" s="4" t="s">
        <v>832</v>
      </c>
      <c r="J29" s="4" t="s">
        <v>614</v>
      </c>
      <c r="K29" s="4" t="n">
        <v>27</v>
      </c>
    </row>
    <row r="30" customFormat="false" ht="15" hidden="false" customHeight="true" outlineLevel="0" collapsed="false">
      <c r="A30" s="4" t="s">
        <v>833</v>
      </c>
      <c r="B30" s="4" t="s">
        <v>555</v>
      </c>
      <c r="C30" s="4" t="s">
        <v>567</v>
      </c>
      <c r="D30" s="4" t="s">
        <v>37</v>
      </c>
      <c r="E30" s="4" t="s">
        <v>602</v>
      </c>
      <c r="F30" s="4" t="s">
        <v>37</v>
      </c>
      <c r="G30" s="4" t="s">
        <v>834</v>
      </c>
      <c r="H30" s="4" t="s">
        <v>557</v>
      </c>
      <c r="I30" s="4" t="s">
        <v>835</v>
      </c>
      <c r="J30" s="4" t="s">
        <v>617</v>
      </c>
      <c r="K30" s="4" t="n">
        <v>8</v>
      </c>
    </row>
    <row r="31" customFormat="false" ht="15" hidden="false" customHeight="true" outlineLevel="0" collapsed="false">
      <c r="A31" s="4" t="s">
        <v>836</v>
      </c>
      <c r="B31" s="4" t="s">
        <v>555</v>
      </c>
      <c r="C31" s="4" t="s">
        <v>585</v>
      </c>
      <c r="D31" s="4" t="s">
        <v>811</v>
      </c>
      <c r="E31" s="4" t="s">
        <v>733</v>
      </c>
      <c r="F31" s="4" t="s">
        <v>773</v>
      </c>
      <c r="G31" s="4" t="s">
        <v>837</v>
      </c>
      <c r="H31" s="4" t="s">
        <v>557</v>
      </c>
      <c r="I31" s="4" t="s">
        <v>838</v>
      </c>
      <c r="J31" s="4" t="s">
        <v>620</v>
      </c>
      <c r="K31" s="4" t="n">
        <v>38</v>
      </c>
    </row>
    <row r="32" customFormat="false" ht="15" hidden="false" customHeight="true" outlineLevel="0" collapsed="false">
      <c r="A32" s="4" t="s">
        <v>839</v>
      </c>
      <c r="B32" s="4" t="s">
        <v>211</v>
      </c>
      <c r="C32" s="4" t="s">
        <v>321</v>
      </c>
      <c r="D32" s="4" t="s">
        <v>166</v>
      </c>
      <c r="E32" s="4" t="s">
        <v>602</v>
      </c>
      <c r="F32" s="4" t="s">
        <v>840</v>
      </c>
      <c r="G32" s="4" t="s">
        <v>841</v>
      </c>
      <c r="H32" s="4" t="s">
        <v>40</v>
      </c>
      <c r="I32" s="4" t="s">
        <v>842</v>
      </c>
      <c r="J32" s="4" t="s">
        <v>617</v>
      </c>
      <c r="K32" s="4" t="n">
        <v>6</v>
      </c>
    </row>
    <row r="33" customFormat="false" ht="15" hidden="false" customHeight="true" outlineLevel="0" collapsed="false">
      <c r="A33" s="4" t="s">
        <v>843</v>
      </c>
      <c r="B33" s="4" t="s">
        <v>211</v>
      </c>
      <c r="C33" s="4" t="s">
        <v>275</v>
      </c>
      <c r="D33" s="4" t="s">
        <v>108</v>
      </c>
      <c r="E33" s="4" t="s">
        <v>602</v>
      </c>
      <c r="F33" s="4" t="s">
        <v>108</v>
      </c>
      <c r="G33" s="4" t="s">
        <v>844</v>
      </c>
      <c r="H33" s="4" t="s">
        <v>40</v>
      </c>
      <c r="I33" s="4" t="s">
        <v>845</v>
      </c>
      <c r="J33" s="4" t="s">
        <v>611</v>
      </c>
      <c r="K33" s="4" t="n">
        <v>16</v>
      </c>
    </row>
    <row r="34" customFormat="false" ht="15" hidden="false" customHeight="true" outlineLevel="0" collapsed="false">
      <c r="A34" s="4" t="s">
        <v>846</v>
      </c>
      <c r="B34" s="4" t="s">
        <v>211</v>
      </c>
      <c r="C34" s="4" t="s">
        <v>350</v>
      </c>
      <c r="D34" s="4" t="s">
        <v>203</v>
      </c>
      <c r="E34" s="4" t="s">
        <v>602</v>
      </c>
      <c r="F34" s="4" t="s">
        <v>203</v>
      </c>
      <c r="G34" s="4" t="s">
        <v>847</v>
      </c>
      <c r="H34" s="4" t="s">
        <v>40</v>
      </c>
      <c r="I34" s="4" t="s">
        <v>848</v>
      </c>
      <c r="J34" s="4" t="s">
        <v>620</v>
      </c>
      <c r="K34" s="4" t="n">
        <v>11</v>
      </c>
    </row>
  </sheetData>
  <autoFilter ref="A1:K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45"/>
    <col collapsed="false" customWidth="true" hidden="false" outlineLevel="0" max="7" min="7" style="1" width="70"/>
  </cols>
  <sheetData>
    <row r="1" customFormat="false" ht="26.25" hidden="false" customHeight="true" outlineLevel="0" collapsed="false">
      <c r="A1" s="5" t="s">
        <v>849</v>
      </c>
      <c r="B1" s="5" t="s">
        <v>850</v>
      </c>
      <c r="C1" s="5" t="s">
        <v>851</v>
      </c>
      <c r="D1" s="5" t="s">
        <v>852</v>
      </c>
      <c r="E1" s="5" t="s">
        <v>853</v>
      </c>
      <c r="F1" s="5" t="s">
        <v>854</v>
      </c>
      <c r="G1" s="5" t="s">
        <v>855</v>
      </c>
    </row>
    <row r="2" customFormat="false" ht="23.25" hidden="false" customHeight="true" outlineLevel="0" collapsed="false">
      <c r="A2" s="4" t="s">
        <v>856</v>
      </c>
      <c r="B2" s="4" t="s">
        <v>857</v>
      </c>
      <c r="C2" s="4" t="s">
        <v>39</v>
      </c>
      <c r="D2" s="4" t="s">
        <v>858</v>
      </c>
      <c r="E2" s="4" t="s">
        <v>859</v>
      </c>
      <c r="F2" s="4" t="s">
        <v>860</v>
      </c>
      <c r="G2" s="4" t="s">
        <v>861</v>
      </c>
    </row>
    <row r="3" customFormat="false" ht="23.25" hidden="false" customHeight="true" outlineLevel="0" collapsed="false">
      <c r="A3" s="4" t="s">
        <v>862</v>
      </c>
      <c r="B3" s="4" t="s">
        <v>863</v>
      </c>
      <c r="C3" s="4" t="s">
        <v>39</v>
      </c>
      <c r="D3" s="4" t="s">
        <v>858</v>
      </c>
      <c r="E3" s="4" t="s">
        <v>859</v>
      </c>
      <c r="F3" s="4" t="s">
        <v>211</v>
      </c>
      <c r="G3" s="4" t="s">
        <v>864</v>
      </c>
    </row>
    <row r="4" customFormat="false" ht="23.25" hidden="false" customHeight="true" outlineLevel="0" collapsed="false">
      <c r="A4" s="4" t="s">
        <v>865</v>
      </c>
      <c r="B4" s="4" t="s">
        <v>866</v>
      </c>
      <c r="C4" s="4" t="s">
        <v>114</v>
      </c>
      <c r="D4" s="4" t="s">
        <v>867</v>
      </c>
      <c r="E4" s="4" t="s">
        <v>868</v>
      </c>
      <c r="F4" s="4" t="s">
        <v>358</v>
      </c>
      <c r="G4" s="4" t="s">
        <v>869</v>
      </c>
    </row>
    <row r="5" customFormat="false" ht="23.25" hidden="false" customHeight="true" outlineLevel="0" collapsed="false">
      <c r="A5" s="4" t="s">
        <v>870</v>
      </c>
      <c r="B5" s="4" t="s">
        <v>871</v>
      </c>
      <c r="C5" s="4" t="s">
        <v>89</v>
      </c>
      <c r="D5" s="4" t="s">
        <v>858</v>
      </c>
      <c r="E5" s="4" t="s">
        <v>859</v>
      </c>
      <c r="F5" s="4" t="s">
        <v>872</v>
      </c>
      <c r="G5" s="4" t="s">
        <v>873</v>
      </c>
    </row>
    <row r="6" customFormat="false" ht="34.5" hidden="false" customHeight="true" outlineLevel="0" collapsed="false">
      <c r="A6" s="4" t="s">
        <v>874</v>
      </c>
      <c r="B6" s="4" t="s">
        <v>875</v>
      </c>
      <c r="C6" s="4" t="s">
        <v>39</v>
      </c>
      <c r="D6" s="4" t="s">
        <v>867</v>
      </c>
      <c r="E6" s="4" t="s">
        <v>868</v>
      </c>
      <c r="F6" s="4" t="s">
        <v>876</v>
      </c>
      <c r="G6" s="4" t="s">
        <v>877</v>
      </c>
    </row>
    <row r="7" customFormat="false" ht="23.25" hidden="false" customHeight="true" outlineLevel="0" collapsed="false">
      <c r="A7" s="4" t="s">
        <v>878</v>
      </c>
      <c r="B7" s="4" t="s">
        <v>879</v>
      </c>
      <c r="C7" s="4" t="s">
        <v>151</v>
      </c>
      <c r="D7" s="4" t="s">
        <v>858</v>
      </c>
      <c r="E7" s="4" t="s">
        <v>859</v>
      </c>
      <c r="F7" s="4" t="s">
        <v>358</v>
      </c>
      <c r="G7" s="4" t="s">
        <v>880</v>
      </c>
    </row>
    <row r="8" customFormat="false" ht="23.25" hidden="false" customHeight="true" outlineLevel="0" collapsed="false">
      <c r="A8" s="4" t="s">
        <v>881</v>
      </c>
      <c r="B8" s="4" t="s">
        <v>882</v>
      </c>
      <c r="C8" s="4" t="s">
        <v>89</v>
      </c>
      <c r="D8" s="4" t="s">
        <v>858</v>
      </c>
      <c r="E8" s="4" t="s">
        <v>859</v>
      </c>
      <c r="F8" s="4" t="s">
        <v>358</v>
      </c>
      <c r="G8" s="4" t="s">
        <v>883</v>
      </c>
    </row>
    <row r="9" customFormat="false" ht="23.25" hidden="false" customHeight="true" outlineLevel="0" collapsed="false">
      <c r="A9" s="4" t="s">
        <v>884</v>
      </c>
      <c r="B9" s="4" t="s">
        <v>885</v>
      </c>
      <c r="C9" s="4" t="s">
        <v>151</v>
      </c>
      <c r="D9" s="4" t="s">
        <v>858</v>
      </c>
      <c r="E9" s="4" t="s">
        <v>859</v>
      </c>
      <c r="F9" s="4" t="s">
        <v>211</v>
      </c>
      <c r="G9" s="4" t="s">
        <v>886</v>
      </c>
    </row>
    <row r="10" customFormat="false" ht="23.25" hidden="false" customHeight="true" outlineLevel="0" collapsed="false">
      <c r="A10" s="4" t="s">
        <v>887</v>
      </c>
      <c r="B10" s="4" t="s">
        <v>888</v>
      </c>
      <c r="C10" s="4" t="s">
        <v>184</v>
      </c>
      <c r="D10" s="4" t="s">
        <v>858</v>
      </c>
      <c r="E10" s="4" t="s">
        <v>859</v>
      </c>
      <c r="F10" s="4" t="s">
        <v>358</v>
      </c>
      <c r="G10" s="4" t="s">
        <v>889</v>
      </c>
    </row>
    <row r="11" customFormat="false" ht="23.25" hidden="false" customHeight="true" outlineLevel="0" collapsed="false">
      <c r="A11" s="4" t="s">
        <v>890</v>
      </c>
      <c r="B11" s="4" t="s">
        <v>891</v>
      </c>
      <c r="C11" s="4" t="s">
        <v>89</v>
      </c>
      <c r="D11" s="4" t="s">
        <v>858</v>
      </c>
      <c r="E11" s="4" t="s">
        <v>859</v>
      </c>
      <c r="F11" s="4" t="s">
        <v>211</v>
      </c>
      <c r="G11" s="4" t="s">
        <v>892</v>
      </c>
    </row>
    <row r="12" customFormat="false" ht="23.85" hidden="false" customHeight="false" outlineLevel="0" collapsed="false">
      <c r="A12" s="4" t="s">
        <v>893</v>
      </c>
      <c r="B12" s="4" t="s">
        <v>894</v>
      </c>
      <c r="C12" s="4" t="s">
        <v>39</v>
      </c>
      <c r="D12" s="4" t="s">
        <v>895</v>
      </c>
      <c r="E12" s="4" t="s">
        <v>896</v>
      </c>
      <c r="F12" s="4" t="s">
        <v>211</v>
      </c>
      <c r="G12" s="4" t="s">
        <v>897</v>
      </c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7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4" min="13" style="1" width="26"/>
    <col collapsed="false" customWidth="true" hidden="false" outlineLevel="0" max="15" min="15" style="1" width="50"/>
  </cols>
  <sheetData>
    <row r="1" customFormat="false" ht="64.5" hidden="false" customHeight="true" outlineLevel="0" collapsed="false">
      <c r="A1" s="5" t="s">
        <v>898</v>
      </c>
      <c r="B1" s="5" t="s">
        <v>849</v>
      </c>
      <c r="C1" s="5" t="s">
        <v>26</v>
      </c>
      <c r="D1" s="5" t="s">
        <v>27</v>
      </c>
      <c r="E1" s="5" t="s">
        <v>28</v>
      </c>
      <c r="F1" s="5" t="s">
        <v>899</v>
      </c>
      <c r="G1" s="5" t="s">
        <v>31</v>
      </c>
      <c r="H1" s="5" t="s">
        <v>900</v>
      </c>
      <c r="I1" s="5" t="s">
        <v>901</v>
      </c>
      <c r="J1" s="5" t="s">
        <v>902</v>
      </c>
      <c r="K1" s="5" t="s">
        <v>903</v>
      </c>
      <c r="L1" s="5" t="s">
        <v>904</v>
      </c>
      <c r="M1" s="5" t="s">
        <v>905</v>
      </c>
      <c r="N1" s="5" t="s">
        <v>906</v>
      </c>
      <c r="O1" s="5" t="s">
        <v>907</v>
      </c>
    </row>
    <row r="2" customFormat="false" ht="15" hidden="false" customHeight="true" outlineLevel="0" collapsed="false">
      <c r="A2" s="4" t="s">
        <v>908</v>
      </c>
      <c r="B2" s="4" t="s">
        <v>856</v>
      </c>
      <c r="C2" s="4" t="s">
        <v>502</v>
      </c>
      <c r="D2" s="4" t="s">
        <v>503</v>
      </c>
      <c r="E2" s="4" t="s">
        <v>504</v>
      </c>
      <c r="F2" s="4" t="s">
        <v>909</v>
      </c>
      <c r="G2" s="4" t="s">
        <v>40</v>
      </c>
      <c r="H2" s="6" t="n">
        <v>4</v>
      </c>
      <c r="I2" s="6" t="s">
        <v>910</v>
      </c>
      <c r="J2" s="4" t="str">
        <f aca="false">IF(OR(I2="A",I2="A-",I2="B+",I2="B",I2="B-",I2="C+",I2="C"),"Yes","No")</f>
        <v>Yes</v>
      </c>
      <c r="K2" s="7" t="n">
        <f aca="false">IF(J2="No",0,IF(G2="Quarter",ROUNDDOWN(H2*2/3,2),H2))</f>
        <v>4</v>
      </c>
      <c r="L2" s="4" t="s">
        <v>44</v>
      </c>
      <c r="M2" s="4" t="s">
        <v>911</v>
      </c>
      <c r="N2" s="4" t="s">
        <v>37</v>
      </c>
      <c r="O2" s="4" t="s">
        <v>912</v>
      </c>
    </row>
    <row r="3" customFormat="false" ht="15" hidden="false" customHeight="true" outlineLevel="0" collapsed="false">
      <c r="A3" s="4" t="s">
        <v>913</v>
      </c>
      <c r="B3" s="4" t="s">
        <v>856</v>
      </c>
      <c r="C3" s="4" t="s">
        <v>502</v>
      </c>
      <c r="D3" s="4" t="s">
        <v>515</v>
      </c>
      <c r="E3" s="4" t="s">
        <v>183</v>
      </c>
      <c r="F3" s="4" t="s">
        <v>909</v>
      </c>
      <c r="G3" s="4" t="s">
        <v>40</v>
      </c>
      <c r="H3" s="6" t="n">
        <v>4</v>
      </c>
      <c r="I3" s="6" t="s">
        <v>914</v>
      </c>
      <c r="J3" s="4" t="str">
        <f aca="false">IF(OR(I3="A",I3="A-",I3="B+",I3="B",I3="B-",I3="C+",I3="C"),"Yes","No")</f>
        <v>Yes</v>
      </c>
      <c r="K3" s="7" t="n">
        <f aca="false">IF(J3="No",0,IF(G3="Quarter",ROUNDDOWN(H3*2/3,2),H3))</f>
        <v>4</v>
      </c>
      <c r="L3" s="4" t="s">
        <v>44</v>
      </c>
      <c r="M3" s="4" t="s">
        <v>911</v>
      </c>
      <c r="N3" s="4" t="s">
        <v>182</v>
      </c>
      <c r="O3" s="4" t="s">
        <v>912</v>
      </c>
    </row>
    <row r="4" customFormat="false" ht="15" hidden="false" customHeight="true" outlineLevel="0" collapsed="false">
      <c r="A4" s="4" t="s">
        <v>915</v>
      </c>
      <c r="B4" s="4" t="s">
        <v>856</v>
      </c>
      <c r="C4" s="4" t="s">
        <v>502</v>
      </c>
      <c r="D4" s="4" t="s">
        <v>525</v>
      </c>
      <c r="E4" s="4" t="s">
        <v>256</v>
      </c>
      <c r="F4" s="4" t="s">
        <v>916</v>
      </c>
      <c r="G4" s="4" t="s">
        <v>40</v>
      </c>
      <c r="H4" s="6" t="n">
        <v>3</v>
      </c>
      <c r="I4" s="6" t="s">
        <v>917</v>
      </c>
      <c r="J4" s="4" t="str">
        <f aca="false">IF(OR(I4="A",I4="A-",I4="B+",I4="B",I4="B-",I4="C+",I4="C"),"Yes","No")</f>
        <v>Yes</v>
      </c>
      <c r="K4" s="7" t="n">
        <f aca="false">IF(J4="No",0,IF(G4="Quarter",ROUNDDOWN(H4*2/3,2),H4))</f>
        <v>3</v>
      </c>
      <c r="L4" s="4" t="s">
        <v>44</v>
      </c>
      <c r="M4" s="4" t="s">
        <v>911</v>
      </c>
      <c r="N4" s="4" t="s">
        <v>87</v>
      </c>
      <c r="O4" s="4" t="s">
        <v>912</v>
      </c>
    </row>
    <row r="5" customFormat="false" ht="23.25" hidden="false" customHeight="true" outlineLevel="0" collapsed="false">
      <c r="A5" s="4" t="s">
        <v>918</v>
      </c>
      <c r="B5" s="4" t="s">
        <v>856</v>
      </c>
      <c r="C5" s="4" t="s">
        <v>502</v>
      </c>
      <c r="D5" s="4" t="s">
        <v>507</v>
      </c>
      <c r="E5" s="4" t="s">
        <v>508</v>
      </c>
      <c r="F5" s="4" t="s">
        <v>916</v>
      </c>
      <c r="G5" s="4" t="s">
        <v>40</v>
      </c>
      <c r="H5" s="6" t="n">
        <v>4</v>
      </c>
      <c r="I5" s="6" t="s">
        <v>919</v>
      </c>
      <c r="J5" s="4" t="str">
        <f aca="false">IF(OR(I5="A",I5="A-",I5="B+",I5="B",I5="B-",I5="C+",I5="C"),"Yes","No")</f>
        <v>Yes</v>
      </c>
      <c r="K5" s="7" t="n">
        <f aca="false">IF(J5="No",0,IF(G5="Quarter",ROUNDDOWN(H5*2/3,2),H5))</f>
        <v>4</v>
      </c>
      <c r="L5" s="4" t="s">
        <v>920</v>
      </c>
      <c r="M5" s="4" t="s">
        <v>921</v>
      </c>
      <c r="N5" s="4" t="s">
        <v>922</v>
      </c>
      <c r="O5" s="4" t="s">
        <v>923</v>
      </c>
    </row>
    <row r="6" customFormat="false" ht="23.25" hidden="false" customHeight="true" outlineLevel="0" collapsed="false">
      <c r="A6" s="4" t="s">
        <v>924</v>
      </c>
      <c r="B6" s="4" t="s">
        <v>856</v>
      </c>
      <c r="C6" s="4" t="s">
        <v>502</v>
      </c>
      <c r="D6" s="4" t="s">
        <v>535</v>
      </c>
      <c r="E6" s="4" t="s">
        <v>536</v>
      </c>
      <c r="F6" s="4" t="s">
        <v>925</v>
      </c>
      <c r="G6" s="4" t="s">
        <v>40</v>
      </c>
      <c r="H6" s="6" t="n">
        <v>4</v>
      </c>
      <c r="I6" s="6" t="s">
        <v>914</v>
      </c>
      <c r="J6" s="4" t="str">
        <f aca="false">IF(OR(I6="A",I6="A-",I6="B+",I6="B",I6="B-",I6="C+",I6="C"),"Yes","No")</f>
        <v>Yes</v>
      </c>
      <c r="K6" s="7" t="n">
        <f aca="false">IF(J6="No",0,IF(G6="Quarter",ROUNDDOWN(H6*2/3,2),H6))</f>
        <v>4</v>
      </c>
      <c r="L6" s="4" t="s">
        <v>920</v>
      </c>
      <c r="M6" s="4" t="s">
        <v>921</v>
      </c>
      <c r="N6" s="4" t="s">
        <v>926</v>
      </c>
      <c r="O6" s="4" t="s">
        <v>927</v>
      </c>
    </row>
    <row r="7" customFormat="false" ht="23.25" hidden="false" customHeight="true" outlineLevel="0" collapsed="false">
      <c r="A7" s="4" t="s">
        <v>928</v>
      </c>
      <c r="B7" s="4" t="s">
        <v>856</v>
      </c>
      <c r="C7" s="4" t="s">
        <v>555</v>
      </c>
      <c r="D7" s="4" t="s">
        <v>556</v>
      </c>
      <c r="E7" s="4" t="s">
        <v>196</v>
      </c>
      <c r="F7" s="4" t="s">
        <v>929</v>
      </c>
      <c r="G7" s="4" t="s">
        <v>557</v>
      </c>
      <c r="H7" s="6" t="n">
        <v>4</v>
      </c>
      <c r="I7" s="6" t="s">
        <v>917</v>
      </c>
      <c r="J7" s="4" t="str">
        <f aca="false">IF(OR(I7="A",I7="A-",I7="B+",I7="B",I7="B-",I7="C+",I7="C"),"Yes","No")</f>
        <v>Yes</v>
      </c>
      <c r="K7" s="7" t="n">
        <f aca="false">IF(J7="No",0,IF(G7="Quarter",ROUNDDOWN(H7*2/3,2),H7))</f>
        <v>2.66</v>
      </c>
      <c r="L7" s="4" t="s">
        <v>920</v>
      </c>
      <c r="M7" s="4" t="s">
        <v>930</v>
      </c>
      <c r="N7" s="4" t="s">
        <v>931</v>
      </c>
      <c r="O7" s="4" t="s">
        <v>932</v>
      </c>
    </row>
    <row r="8" customFormat="false" ht="23.25" hidden="false" customHeight="true" outlineLevel="0" collapsed="false">
      <c r="A8" s="4" t="s">
        <v>933</v>
      </c>
      <c r="B8" s="4" t="s">
        <v>862</v>
      </c>
      <c r="C8" s="4" t="s">
        <v>211</v>
      </c>
      <c r="D8" s="4" t="s">
        <v>212</v>
      </c>
      <c r="E8" s="4" t="s">
        <v>213</v>
      </c>
      <c r="F8" s="4" t="s">
        <v>909</v>
      </c>
      <c r="G8" s="4" t="s">
        <v>40</v>
      </c>
      <c r="H8" s="6" t="n">
        <v>5</v>
      </c>
      <c r="I8" s="6" t="s">
        <v>910</v>
      </c>
      <c r="J8" s="4" t="str">
        <f aca="false">IF(OR(I8="A",I8="A-",I8="B+",I8="B",I8="B-",I8="C+",I8="C"),"Yes","No")</f>
        <v>Yes</v>
      </c>
      <c r="K8" s="7" t="n">
        <f aca="false">IF(J8="No",0,IF(G8="Quarter",ROUNDDOWN(H8*2/3,2),H8))</f>
        <v>5</v>
      </c>
      <c r="L8" s="4" t="s">
        <v>44</v>
      </c>
      <c r="M8" s="4" t="s">
        <v>911</v>
      </c>
      <c r="N8" s="4" t="s">
        <v>37</v>
      </c>
      <c r="O8" s="4"/>
    </row>
    <row r="9" customFormat="false" ht="15" hidden="false" customHeight="true" outlineLevel="0" collapsed="false">
      <c r="A9" s="4" t="s">
        <v>934</v>
      </c>
      <c r="B9" s="4" t="s">
        <v>862</v>
      </c>
      <c r="C9" s="4" t="s">
        <v>211</v>
      </c>
      <c r="D9" s="4" t="s">
        <v>224</v>
      </c>
      <c r="E9" s="4" t="s">
        <v>225</v>
      </c>
      <c r="F9" s="4" t="s">
        <v>909</v>
      </c>
      <c r="G9" s="4" t="s">
        <v>40</v>
      </c>
      <c r="H9" s="6" t="n">
        <v>4</v>
      </c>
      <c r="I9" s="6" t="s">
        <v>919</v>
      </c>
      <c r="J9" s="4" t="str">
        <f aca="false">IF(OR(I9="A",I9="A-",I9="B+",I9="B",I9="B-",I9="C+",I9="C"),"Yes","No")</f>
        <v>Yes</v>
      </c>
      <c r="K9" s="7" t="n">
        <f aca="false">IF(J9="No",0,IF(G9="Quarter",ROUNDDOWN(H9*2/3,2),H9))</f>
        <v>4</v>
      </c>
      <c r="L9" s="4" t="s">
        <v>44</v>
      </c>
      <c r="M9" s="4" t="s">
        <v>911</v>
      </c>
      <c r="N9" s="4" t="s">
        <v>49</v>
      </c>
      <c r="O9" s="4"/>
    </row>
    <row r="10" customFormat="false" ht="23.25" hidden="false" customHeight="true" outlineLevel="0" collapsed="false">
      <c r="A10" s="4" t="s">
        <v>935</v>
      </c>
      <c r="B10" s="4" t="s">
        <v>862</v>
      </c>
      <c r="C10" s="4" t="s">
        <v>211</v>
      </c>
      <c r="D10" s="4" t="s">
        <v>216</v>
      </c>
      <c r="E10" s="4" t="s">
        <v>217</v>
      </c>
      <c r="F10" s="4" t="s">
        <v>916</v>
      </c>
      <c r="G10" s="4" t="s">
        <v>40</v>
      </c>
      <c r="H10" s="6" t="n">
        <v>5</v>
      </c>
      <c r="I10" s="6" t="s">
        <v>914</v>
      </c>
      <c r="J10" s="4" t="str">
        <f aca="false">IF(OR(I10="A",I10="A-",I10="B+",I10="B",I10="B-",I10="C+",I10="C"),"Yes","No")</f>
        <v>Yes</v>
      </c>
      <c r="K10" s="7" t="n">
        <f aca="false">IF(J10="No",0,IF(G10="Quarter",ROUNDDOWN(H10*2/3,2),H10))</f>
        <v>5</v>
      </c>
      <c r="L10" s="4" t="s">
        <v>920</v>
      </c>
      <c r="M10" s="4" t="s">
        <v>921</v>
      </c>
      <c r="N10" s="4" t="s">
        <v>936</v>
      </c>
      <c r="O10" s="4" t="s">
        <v>937</v>
      </c>
    </row>
    <row r="11" customFormat="false" ht="15" hidden="false" customHeight="true" outlineLevel="0" collapsed="false">
      <c r="A11" s="4" t="s">
        <v>938</v>
      </c>
      <c r="B11" s="4" t="s">
        <v>862</v>
      </c>
      <c r="C11" s="4" t="s">
        <v>211</v>
      </c>
      <c r="D11" s="4" t="s">
        <v>228</v>
      </c>
      <c r="E11" s="4" t="s">
        <v>229</v>
      </c>
      <c r="F11" s="4" t="s">
        <v>925</v>
      </c>
      <c r="G11" s="4" t="s">
        <v>40</v>
      </c>
      <c r="H11" s="6" t="n">
        <v>5</v>
      </c>
      <c r="I11" s="6" t="s">
        <v>919</v>
      </c>
      <c r="J11" s="4" t="str">
        <f aca="false">IF(OR(I11="A",I11="A-",I11="B+",I11="B",I11="B-",I11="C+",I11="C"),"Yes","No")</f>
        <v>Yes</v>
      </c>
      <c r="K11" s="7" t="n">
        <f aca="false">IF(J11="No",0,IF(G11="Quarter",ROUNDDOWN(H11*2/3,2),H11))</f>
        <v>5</v>
      </c>
      <c r="L11" s="4" t="s">
        <v>920</v>
      </c>
      <c r="M11" s="4" t="s">
        <v>921</v>
      </c>
      <c r="N11" s="4" t="s">
        <v>939</v>
      </c>
      <c r="O11" s="4" t="s">
        <v>940</v>
      </c>
    </row>
    <row r="12" customFormat="false" ht="23.25" hidden="false" customHeight="true" outlineLevel="0" collapsed="false">
      <c r="A12" s="4" t="s">
        <v>941</v>
      </c>
      <c r="B12" s="4" t="s">
        <v>862</v>
      </c>
      <c r="C12" s="4" t="s">
        <v>211</v>
      </c>
      <c r="D12" s="4" t="s">
        <v>239</v>
      </c>
      <c r="E12" s="4" t="s">
        <v>240</v>
      </c>
      <c r="F12" s="4" t="s">
        <v>925</v>
      </c>
      <c r="G12" s="4" t="s">
        <v>40</v>
      </c>
      <c r="H12" s="6" t="n">
        <v>4</v>
      </c>
      <c r="I12" s="6" t="s">
        <v>917</v>
      </c>
      <c r="J12" s="4" t="str">
        <f aca="false">IF(OR(I12="A",I12="A-",I12="B+",I12="B",I12="B-",I12="C+",I12="C"),"Yes","No")</f>
        <v>Yes</v>
      </c>
      <c r="K12" s="7" t="n">
        <f aca="false">IF(J12="No",0,IF(G12="Quarter",ROUNDDOWN(H12*2/3,2),H12))</f>
        <v>4</v>
      </c>
      <c r="L12" s="4" t="s">
        <v>920</v>
      </c>
      <c r="M12" s="4" t="s">
        <v>942</v>
      </c>
      <c r="N12" s="4" t="s">
        <v>766</v>
      </c>
      <c r="O12" s="4" t="s">
        <v>943</v>
      </c>
    </row>
    <row r="13" customFormat="false" ht="15" hidden="false" customHeight="true" outlineLevel="0" collapsed="false">
      <c r="A13" s="4" t="s">
        <v>944</v>
      </c>
      <c r="B13" s="4" t="s">
        <v>862</v>
      </c>
      <c r="C13" s="4" t="s">
        <v>211</v>
      </c>
      <c r="D13" s="4" t="s">
        <v>331</v>
      </c>
      <c r="E13" s="4" t="s">
        <v>332</v>
      </c>
      <c r="F13" s="4" t="s">
        <v>909</v>
      </c>
      <c r="G13" s="4" t="s">
        <v>40</v>
      </c>
      <c r="H13" s="6" t="n">
        <v>4</v>
      </c>
      <c r="I13" s="6" t="s">
        <v>945</v>
      </c>
      <c r="J13" s="4" t="str">
        <f aca="false">IF(OR(I13="A",I13="A-",I13="B+",I13="B",I13="B-",I13="C+",I13="C"),"Yes","No")</f>
        <v>No</v>
      </c>
      <c r="K13" s="7" t="n">
        <f aca="false">IF(J13="No",0,IF(G13="Quarter",ROUNDDOWN(H13*2/3,2),H13))</f>
        <v>0</v>
      </c>
      <c r="L13" s="4" t="s">
        <v>44</v>
      </c>
      <c r="M13" s="4" t="s">
        <v>946</v>
      </c>
      <c r="N13" s="4" t="s">
        <v>830</v>
      </c>
      <c r="O13" s="4" t="s">
        <v>947</v>
      </c>
    </row>
    <row r="14" customFormat="false" ht="15" hidden="false" customHeight="true" outlineLevel="0" collapsed="false">
      <c r="A14" s="4" t="s">
        <v>948</v>
      </c>
      <c r="B14" s="4" t="s">
        <v>862</v>
      </c>
      <c r="C14" s="4" t="s">
        <v>211</v>
      </c>
      <c r="D14" s="4" t="s">
        <v>255</v>
      </c>
      <c r="E14" s="4" t="s">
        <v>256</v>
      </c>
      <c r="F14" s="4" t="s">
        <v>916</v>
      </c>
      <c r="G14" s="4" t="s">
        <v>40</v>
      </c>
      <c r="H14" s="6" t="n">
        <v>4</v>
      </c>
      <c r="I14" s="6" t="s">
        <v>919</v>
      </c>
      <c r="J14" s="4" t="str">
        <f aca="false">IF(OR(I14="A",I14="A-",I14="B+",I14="B",I14="B-",I14="C+",I14="C"),"Yes","No")</f>
        <v>Yes</v>
      </c>
      <c r="K14" s="7" t="n">
        <f aca="false">IF(J14="No",0,IF(G14="Quarter",ROUNDDOWN(H14*2/3,2),H14))</f>
        <v>4</v>
      </c>
      <c r="L14" s="4" t="s">
        <v>44</v>
      </c>
      <c r="M14" s="4" t="s">
        <v>911</v>
      </c>
      <c r="N14" s="4" t="s">
        <v>87</v>
      </c>
      <c r="O14" s="4"/>
    </row>
    <row r="15" customFormat="false" ht="23.25" hidden="false" customHeight="true" outlineLevel="0" collapsed="false">
      <c r="A15" s="4" t="s">
        <v>949</v>
      </c>
      <c r="B15" s="4" t="s">
        <v>862</v>
      </c>
      <c r="C15" s="4" t="s">
        <v>211</v>
      </c>
      <c r="D15" s="4" t="s">
        <v>251</v>
      </c>
      <c r="E15" s="4" t="s">
        <v>252</v>
      </c>
      <c r="F15" s="4" t="s">
        <v>867</v>
      </c>
      <c r="G15" s="4" t="s">
        <v>40</v>
      </c>
      <c r="H15" s="6" t="n">
        <v>4</v>
      </c>
      <c r="I15" s="6" t="s">
        <v>910</v>
      </c>
      <c r="J15" s="4" t="str">
        <f aca="false">IF(OR(I15="A",I15="A-",I15="B+",I15="B",I15="B-",I15="C+",I15="C"),"Yes","No")</f>
        <v>Yes</v>
      </c>
      <c r="K15" s="7" t="n">
        <f aca="false">IF(J15="No",0,IF(G15="Quarter",ROUNDDOWN(H15*2/3,2),H15))</f>
        <v>4</v>
      </c>
      <c r="L15" s="4" t="s">
        <v>920</v>
      </c>
      <c r="M15" s="4" t="s">
        <v>950</v>
      </c>
      <c r="N15" s="4" t="s">
        <v>815</v>
      </c>
      <c r="O15" s="4" t="s">
        <v>951</v>
      </c>
    </row>
    <row r="16" customFormat="false" ht="15" hidden="false" customHeight="true" outlineLevel="0" collapsed="false">
      <c r="A16" s="4" t="s">
        <v>952</v>
      </c>
      <c r="B16" s="4" t="s">
        <v>865</v>
      </c>
      <c r="C16" s="4" t="s">
        <v>358</v>
      </c>
      <c r="D16" s="4" t="s">
        <v>409</v>
      </c>
      <c r="E16" s="4" t="s">
        <v>410</v>
      </c>
      <c r="F16" s="4" t="s">
        <v>909</v>
      </c>
      <c r="G16" s="4" t="s">
        <v>40</v>
      </c>
      <c r="H16" s="6" t="n">
        <v>4</v>
      </c>
      <c r="I16" s="6" t="s">
        <v>910</v>
      </c>
      <c r="J16" s="4" t="str">
        <f aca="false">IF(OR(I16="A",I16="A-",I16="B+",I16="B",I16="B-",I16="C+",I16="C"),"Yes","No")</f>
        <v>Yes</v>
      </c>
      <c r="K16" s="7" t="n">
        <f aca="false">IF(J16="No",0,IF(G16="Quarter",ROUNDDOWN(H16*2/3,2),H16))</f>
        <v>4</v>
      </c>
      <c r="L16" s="4" t="s">
        <v>44</v>
      </c>
      <c r="M16" s="4" t="s">
        <v>911</v>
      </c>
      <c r="N16" s="4" t="s">
        <v>112</v>
      </c>
      <c r="O16" s="4"/>
    </row>
    <row r="17" customFormat="false" ht="23.25" hidden="false" customHeight="true" outlineLevel="0" collapsed="false">
      <c r="A17" s="4" t="s">
        <v>953</v>
      </c>
      <c r="B17" s="4" t="s">
        <v>865</v>
      </c>
      <c r="C17" s="4" t="s">
        <v>358</v>
      </c>
      <c r="D17" s="4" t="s">
        <v>413</v>
      </c>
      <c r="E17" s="4" t="s">
        <v>414</v>
      </c>
      <c r="F17" s="4" t="s">
        <v>916</v>
      </c>
      <c r="G17" s="4" t="s">
        <v>40</v>
      </c>
      <c r="H17" s="6" t="n">
        <v>4</v>
      </c>
      <c r="I17" s="6" t="s">
        <v>919</v>
      </c>
      <c r="J17" s="4" t="str">
        <f aca="false">IF(OR(I17="A",I17="A-",I17="B+",I17="B",I17="B-",I17="C+",I17="C"),"Yes","No")</f>
        <v>Yes</v>
      </c>
      <c r="K17" s="7" t="n">
        <f aca="false">IF(J17="No",0,IF(G17="Quarter",ROUNDDOWN(H17*2/3,2),H17))</f>
        <v>4</v>
      </c>
      <c r="L17" s="4" t="s">
        <v>920</v>
      </c>
      <c r="M17" s="4" t="s">
        <v>921</v>
      </c>
      <c r="N17" s="4" t="s">
        <v>954</v>
      </c>
      <c r="O17" s="4" t="s">
        <v>955</v>
      </c>
    </row>
    <row r="18" customFormat="false" ht="23.25" hidden="false" customHeight="true" outlineLevel="0" collapsed="false">
      <c r="A18" s="4" t="s">
        <v>956</v>
      </c>
      <c r="B18" s="4" t="s">
        <v>865</v>
      </c>
      <c r="C18" s="4" t="s">
        <v>358</v>
      </c>
      <c r="D18" s="4" t="s">
        <v>425</v>
      </c>
      <c r="E18" s="4" t="s">
        <v>426</v>
      </c>
      <c r="F18" s="4" t="s">
        <v>916</v>
      </c>
      <c r="G18" s="4" t="s">
        <v>40</v>
      </c>
      <c r="H18" s="6" t="n">
        <v>4</v>
      </c>
      <c r="I18" s="6" t="s">
        <v>914</v>
      </c>
      <c r="J18" s="4" t="str">
        <f aca="false">IF(OR(I18="A",I18="A-",I18="B+",I18="B",I18="B-",I18="C+",I18="C"),"Yes","No")</f>
        <v>Yes</v>
      </c>
      <c r="K18" s="7" t="n">
        <f aca="false">IF(J18="No",0,IF(G18="Quarter",ROUNDDOWN(H18*2/3,2),H18))</f>
        <v>4</v>
      </c>
      <c r="L18" s="4" t="s">
        <v>920</v>
      </c>
      <c r="M18" s="4" t="s">
        <v>921</v>
      </c>
      <c r="N18" s="4" t="s">
        <v>954</v>
      </c>
      <c r="O18" s="4" t="s">
        <v>957</v>
      </c>
    </row>
    <row r="19" customFormat="false" ht="23.25" hidden="false" customHeight="true" outlineLevel="0" collapsed="false">
      <c r="A19" s="4" t="s">
        <v>958</v>
      </c>
      <c r="B19" s="4" t="s">
        <v>865</v>
      </c>
      <c r="C19" s="4" t="s">
        <v>358</v>
      </c>
      <c r="D19" s="4" t="s">
        <v>437</v>
      </c>
      <c r="E19" s="4" t="s">
        <v>142</v>
      </c>
      <c r="F19" s="4" t="s">
        <v>925</v>
      </c>
      <c r="G19" s="4" t="s">
        <v>40</v>
      </c>
      <c r="H19" s="6" t="n">
        <v>4</v>
      </c>
      <c r="I19" s="6" t="s">
        <v>917</v>
      </c>
      <c r="J19" s="4" t="str">
        <f aca="false">IF(OR(I19="A",I19="A-",I19="B+",I19="B",I19="B-",I19="C+",I19="C"),"Yes","No")</f>
        <v>Yes</v>
      </c>
      <c r="K19" s="7" t="n">
        <f aca="false">IF(J19="No",0,IF(G19="Quarter",ROUNDDOWN(H19*2/3,2),H19))</f>
        <v>4</v>
      </c>
      <c r="L19" s="4" t="s">
        <v>44</v>
      </c>
      <c r="M19" s="4" t="s">
        <v>911</v>
      </c>
      <c r="N19" s="4" t="s">
        <v>141</v>
      </c>
      <c r="O19" s="4"/>
    </row>
    <row r="20" customFormat="false" ht="23.25" hidden="false" customHeight="true" outlineLevel="0" collapsed="false">
      <c r="A20" s="4" t="s">
        <v>959</v>
      </c>
      <c r="B20" s="4" t="s">
        <v>865</v>
      </c>
      <c r="C20" s="4" t="s">
        <v>358</v>
      </c>
      <c r="D20" s="4" t="s">
        <v>433</v>
      </c>
      <c r="E20" s="4" t="s">
        <v>434</v>
      </c>
      <c r="F20" s="4" t="s">
        <v>925</v>
      </c>
      <c r="G20" s="4" t="s">
        <v>40</v>
      </c>
      <c r="H20" s="6" t="n">
        <v>4</v>
      </c>
      <c r="I20" s="6" t="s">
        <v>960</v>
      </c>
      <c r="J20" s="4" t="str">
        <f aca="false">IF(OR(I20="A",I20="A-",I20="B+",I20="B",I20="B-",I20="C+",I20="C"),"Yes","No")</f>
        <v>Yes</v>
      </c>
      <c r="K20" s="7" t="n">
        <f aca="false">IF(J20="No",0,IF(G20="Quarter",ROUNDDOWN(H20*2/3,2),H20))</f>
        <v>4</v>
      </c>
      <c r="L20" s="4" t="s">
        <v>44</v>
      </c>
      <c r="M20" s="4" t="s">
        <v>911</v>
      </c>
      <c r="N20" s="4" t="s">
        <v>137</v>
      </c>
      <c r="O20" s="4" t="s">
        <v>961</v>
      </c>
    </row>
    <row r="21" customFormat="false" ht="15" hidden="false" customHeight="true" outlineLevel="0" collapsed="false">
      <c r="A21" s="4" t="s">
        <v>962</v>
      </c>
      <c r="B21" s="4" t="s">
        <v>865</v>
      </c>
      <c r="C21" s="4" t="s">
        <v>358</v>
      </c>
      <c r="D21" s="4" t="s">
        <v>447</v>
      </c>
      <c r="E21" s="4" t="s">
        <v>448</v>
      </c>
      <c r="F21" s="4" t="s">
        <v>909</v>
      </c>
      <c r="G21" s="4" t="s">
        <v>40</v>
      </c>
      <c r="H21" s="6" t="n">
        <v>4</v>
      </c>
      <c r="I21" s="6" t="s">
        <v>963</v>
      </c>
      <c r="J21" s="4" t="str">
        <f aca="false">IF(OR(I21="A",I21="A-",I21="B+",I21="B",I21="B-",I21="C+",I21="C"),"Yes","No")</f>
        <v>No</v>
      </c>
      <c r="K21" s="7" t="n">
        <f aca="false">IF(J21="No",0,IF(G21="Quarter",ROUNDDOWN(H21*2/3,2),H21))</f>
        <v>0</v>
      </c>
      <c r="L21" s="4" t="s">
        <v>44</v>
      </c>
      <c r="M21" s="4" t="s">
        <v>946</v>
      </c>
      <c r="N21" s="4" t="s">
        <v>830</v>
      </c>
      <c r="O21" s="4" t="s">
        <v>964</v>
      </c>
    </row>
    <row r="22" customFormat="false" ht="23.25" hidden="false" customHeight="true" outlineLevel="0" collapsed="false">
      <c r="A22" s="4" t="s">
        <v>965</v>
      </c>
      <c r="B22" s="4" t="s">
        <v>865</v>
      </c>
      <c r="C22" s="4" t="s">
        <v>358</v>
      </c>
      <c r="D22" s="4" t="s">
        <v>477</v>
      </c>
      <c r="E22" s="4" t="s">
        <v>183</v>
      </c>
      <c r="F22" s="4" t="s">
        <v>909</v>
      </c>
      <c r="G22" s="4" t="s">
        <v>40</v>
      </c>
      <c r="H22" s="6" t="n">
        <v>4</v>
      </c>
      <c r="I22" s="6" t="s">
        <v>919</v>
      </c>
      <c r="J22" s="4" t="str">
        <f aca="false">IF(OR(I22="A",I22="A-",I22="B+",I22="B",I22="B-",I22="C+",I22="C"),"Yes","No")</f>
        <v>Yes</v>
      </c>
      <c r="K22" s="7" t="n">
        <f aca="false">IF(J22="No",0,IF(G22="Quarter",ROUNDDOWN(H22*2/3,2),H22))</f>
        <v>4</v>
      </c>
      <c r="L22" s="4" t="s">
        <v>44</v>
      </c>
      <c r="M22" s="4" t="s">
        <v>911</v>
      </c>
      <c r="N22" s="4" t="s">
        <v>182</v>
      </c>
      <c r="O22" s="4"/>
    </row>
    <row r="23" customFormat="false" ht="15" hidden="false" customHeight="true" outlineLevel="0" collapsed="false">
      <c r="A23" s="4" t="s">
        <v>966</v>
      </c>
      <c r="B23" s="4" t="s">
        <v>870</v>
      </c>
      <c r="C23" s="4" t="s">
        <v>555</v>
      </c>
      <c r="D23" s="4" t="s">
        <v>589</v>
      </c>
      <c r="E23" s="4" t="s">
        <v>532</v>
      </c>
      <c r="F23" s="4" t="s">
        <v>909</v>
      </c>
      <c r="G23" s="4" t="s">
        <v>557</v>
      </c>
      <c r="H23" s="6" t="n">
        <v>5</v>
      </c>
      <c r="I23" s="6" t="s">
        <v>919</v>
      </c>
      <c r="J23" s="4" t="str">
        <f aca="false">IF(OR(I23="A",I23="A-",I23="B+",I23="B",I23="B-",I23="C+",I23="C"),"Yes","No")</f>
        <v>Yes</v>
      </c>
      <c r="K23" s="7" t="n">
        <f aca="false">IF(J23="No",0,IF(G23="Quarter",ROUNDDOWN(H23*2/3,2),H23))</f>
        <v>3.33</v>
      </c>
      <c r="L23" s="4" t="s">
        <v>44</v>
      </c>
      <c r="M23" s="4" t="s">
        <v>967</v>
      </c>
      <c r="N23" s="4" t="s">
        <v>112</v>
      </c>
      <c r="O23" s="4" t="s">
        <v>968</v>
      </c>
    </row>
    <row r="24" customFormat="false" ht="15" hidden="false" customHeight="true" outlineLevel="0" collapsed="false">
      <c r="A24" s="4" t="s">
        <v>969</v>
      </c>
      <c r="B24" s="4" t="s">
        <v>870</v>
      </c>
      <c r="C24" s="4" t="s">
        <v>555</v>
      </c>
      <c r="D24" s="4" t="s">
        <v>560</v>
      </c>
      <c r="E24" s="4" t="s">
        <v>561</v>
      </c>
      <c r="F24" s="4" t="s">
        <v>909</v>
      </c>
      <c r="G24" s="4" t="s">
        <v>557</v>
      </c>
      <c r="H24" s="6" t="n">
        <v>5</v>
      </c>
      <c r="I24" s="6" t="s">
        <v>914</v>
      </c>
      <c r="J24" s="4" t="str">
        <f aca="false">IF(OR(I24="A",I24="A-",I24="B+",I24="B",I24="B-",I24="C+",I24="C"),"Yes","No")</f>
        <v>Yes</v>
      </c>
      <c r="K24" s="7" t="n">
        <f aca="false">IF(J24="No",0,IF(G24="Quarter",ROUNDDOWN(H24*2/3,2),H24))</f>
        <v>3.33</v>
      </c>
      <c r="L24" s="4" t="s">
        <v>44</v>
      </c>
      <c r="M24" s="4" t="s">
        <v>967</v>
      </c>
      <c r="N24" s="4" t="s">
        <v>182</v>
      </c>
      <c r="O24" s="4" t="s">
        <v>970</v>
      </c>
    </row>
    <row r="25" customFormat="false" ht="15" hidden="false" customHeight="true" outlineLevel="0" collapsed="false">
      <c r="A25" s="4" t="s">
        <v>971</v>
      </c>
      <c r="B25" s="4" t="s">
        <v>870</v>
      </c>
      <c r="C25" s="4" t="s">
        <v>555</v>
      </c>
      <c r="D25" s="4" t="s">
        <v>575</v>
      </c>
      <c r="E25" s="4" t="s">
        <v>394</v>
      </c>
      <c r="F25" s="4" t="s">
        <v>972</v>
      </c>
      <c r="G25" s="4" t="s">
        <v>557</v>
      </c>
      <c r="H25" s="6" t="n">
        <v>5</v>
      </c>
      <c r="I25" s="6" t="s">
        <v>917</v>
      </c>
      <c r="J25" s="4" t="str">
        <f aca="false">IF(OR(I25="A",I25="A-",I25="B+",I25="B",I25="B-",I25="C+",I25="C"),"Yes","No")</f>
        <v>Yes</v>
      </c>
      <c r="K25" s="7" t="n">
        <f aca="false">IF(J25="No",0,IF(G25="Quarter",ROUNDDOWN(H25*2/3,2),H25))</f>
        <v>3.33</v>
      </c>
      <c r="L25" s="4" t="s">
        <v>920</v>
      </c>
      <c r="M25" s="4" t="s">
        <v>930</v>
      </c>
      <c r="N25" s="4" t="s">
        <v>973</v>
      </c>
      <c r="O25" s="4" t="s">
        <v>974</v>
      </c>
    </row>
    <row r="26" customFormat="false" ht="15" hidden="false" customHeight="true" outlineLevel="0" collapsed="false">
      <c r="A26" s="4" t="s">
        <v>975</v>
      </c>
      <c r="B26" s="4" t="s">
        <v>870</v>
      </c>
      <c r="C26" s="4" t="s">
        <v>555</v>
      </c>
      <c r="D26" s="4" t="s">
        <v>578</v>
      </c>
      <c r="E26" s="4" t="s">
        <v>398</v>
      </c>
      <c r="F26" s="4" t="s">
        <v>916</v>
      </c>
      <c r="G26" s="4" t="s">
        <v>557</v>
      </c>
      <c r="H26" s="6" t="n">
        <v>5</v>
      </c>
      <c r="I26" s="6" t="s">
        <v>914</v>
      </c>
      <c r="J26" s="4" t="str">
        <f aca="false">IF(OR(I26="A",I26="A-",I26="B+",I26="B",I26="B-",I26="C+",I26="C"),"Yes","No")</f>
        <v>Yes</v>
      </c>
      <c r="K26" s="7" t="n">
        <f aca="false">IF(J26="No",0,IF(G26="Quarter",ROUNDDOWN(H26*2/3,2),H26))</f>
        <v>3.33</v>
      </c>
      <c r="L26" s="4" t="s">
        <v>920</v>
      </c>
      <c r="M26" s="4" t="s">
        <v>930</v>
      </c>
      <c r="N26" s="4" t="s">
        <v>976</v>
      </c>
      <c r="O26" s="4" t="s">
        <v>977</v>
      </c>
    </row>
    <row r="27" customFormat="false" ht="23.25" hidden="false" customHeight="true" outlineLevel="0" collapsed="false">
      <c r="A27" s="4" t="s">
        <v>978</v>
      </c>
      <c r="B27" s="4" t="s">
        <v>870</v>
      </c>
      <c r="C27" s="4" t="s">
        <v>555</v>
      </c>
      <c r="D27" s="4" t="s">
        <v>581</v>
      </c>
      <c r="E27" s="4" t="s">
        <v>582</v>
      </c>
      <c r="F27" s="4" t="s">
        <v>925</v>
      </c>
      <c r="G27" s="4" t="s">
        <v>557</v>
      </c>
      <c r="H27" s="6" t="n">
        <v>5</v>
      </c>
      <c r="I27" s="6" t="s">
        <v>910</v>
      </c>
      <c r="J27" s="4" t="str">
        <f aca="false">IF(OR(I27="A",I27="A-",I27="B+",I27="B",I27="B-",I27="C+",I27="C"),"Yes","No")</f>
        <v>Yes</v>
      </c>
      <c r="K27" s="7" t="n">
        <f aca="false">IF(J27="No",0,IF(G27="Quarter",ROUNDDOWN(H27*2/3,2),H27))</f>
        <v>3.33</v>
      </c>
      <c r="L27" s="4" t="s">
        <v>920</v>
      </c>
      <c r="M27" s="4" t="s">
        <v>930</v>
      </c>
      <c r="N27" s="4" t="s">
        <v>979</v>
      </c>
      <c r="O27" s="4" t="s">
        <v>980</v>
      </c>
    </row>
    <row r="28" customFormat="false" ht="23.25" hidden="false" customHeight="true" outlineLevel="0" collapsed="false">
      <c r="A28" s="4" t="s">
        <v>981</v>
      </c>
      <c r="B28" s="4" t="s">
        <v>870</v>
      </c>
      <c r="C28" s="4" t="s">
        <v>555</v>
      </c>
      <c r="D28" s="4" t="s">
        <v>585</v>
      </c>
      <c r="E28" s="4" t="s">
        <v>586</v>
      </c>
      <c r="F28" s="4" t="s">
        <v>982</v>
      </c>
      <c r="G28" s="4" t="s">
        <v>557</v>
      </c>
      <c r="H28" s="6" t="n">
        <v>5</v>
      </c>
      <c r="I28" s="6" t="s">
        <v>910</v>
      </c>
      <c r="J28" s="4" t="str">
        <f aca="false">IF(OR(I28="A",I28="A-",I28="B+",I28="B",I28="B-",I28="C+",I28="C"),"Yes","No")</f>
        <v>Yes</v>
      </c>
      <c r="K28" s="7" t="n">
        <f aca="false">IF(J28="No",0,IF(G28="Quarter",ROUNDDOWN(H28*2/3,2),H28))</f>
        <v>3.33</v>
      </c>
      <c r="L28" s="4" t="s">
        <v>920</v>
      </c>
      <c r="M28" s="4" t="s">
        <v>950</v>
      </c>
      <c r="N28" s="4" t="s">
        <v>773</v>
      </c>
      <c r="O28" s="4" t="s">
        <v>983</v>
      </c>
    </row>
    <row r="29" customFormat="false" ht="15" hidden="false" customHeight="true" outlineLevel="0" collapsed="false">
      <c r="A29" s="4" t="s">
        <v>984</v>
      </c>
      <c r="B29" s="4" t="s">
        <v>870</v>
      </c>
      <c r="C29" s="4" t="s">
        <v>555</v>
      </c>
      <c r="D29" s="4" t="s">
        <v>571</v>
      </c>
      <c r="E29" s="4" t="s">
        <v>572</v>
      </c>
      <c r="F29" s="4" t="s">
        <v>867</v>
      </c>
      <c r="G29" s="4" t="s">
        <v>557</v>
      </c>
      <c r="H29" s="6" t="n">
        <v>5</v>
      </c>
      <c r="I29" s="6" t="s">
        <v>919</v>
      </c>
      <c r="J29" s="4" t="str">
        <f aca="false">IF(OR(I29="A",I29="A-",I29="B+",I29="B",I29="B-",I29="C+",I29="C"),"Yes","No")</f>
        <v>Yes</v>
      </c>
      <c r="K29" s="7" t="n">
        <f aca="false">IF(J29="No",0,IF(G29="Quarter",ROUNDDOWN(H29*2/3,2),H29))</f>
        <v>3.33</v>
      </c>
      <c r="L29" s="4" t="s">
        <v>920</v>
      </c>
      <c r="M29" s="4" t="s">
        <v>930</v>
      </c>
      <c r="N29" s="4" t="s">
        <v>985</v>
      </c>
      <c r="O29" s="4" t="s">
        <v>986</v>
      </c>
    </row>
    <row r="30" customFormat="false" ht="15" hidden="false" customHeight="true" outlineLevel="0" collapsed="false">
      <c r="A30" s="4" t="s">
        <v>987</v>
      </c>
      <c r="B30" s="4" t="s">
        <v>870</v>
      </c>
      <c r="C30" s="4" t="s">
        <v>502</v>
      </c>
      <c r="D30" s="4" t="s">
        <v>528</v>
      </c>
      <c r="E30" s="4" t="s">
        <v>260</v>
      </c>
      <c r="F30" s="4" t="s">
        <v>988</v>
      </c>
      <c r="G30" s="4" t="s">
        <v>40</v>
      </c>
      <c r="H30" s="6" t="n">
        <v>3</v>
      </c>
      <c r="I30" s="6" t="s">
        <v>910</v>
      </c>
      <c r="J30" s="4" t="str">
        <f aca="false">IF(OR(I30="A",I30="A-",I30="B+",I30="B",I30="B-",I30="C+",I30="C"),"Yes","No")</f>
        <v>Yes</v>
      </c>
      <c r="K30" s="7" t="n">
        <f aca="false">IF(J30="No",0,IF(G30="Quarter",ROUNDDOWN(H30*2/3,2),H30))</f>
        <v>3</v>
      </c>
      <c r="L30" s="4" t="s">
        <v>44</v>
      </c>
      <c r="M30" s="4" t="s">
        <v>911</v>
      </c>
      <c r="N30" s="4" t="s">
        <v>92</v>
      </c>
      <c r="O30" s="4"/>
    </row>
    <row r="31" customFormat="false" ht="15" hidden="false" customHeight="true" outlineLevel="0" collapsed="false">
      <c r="A31" s="4" t="s">
        <v>989</v>
      </c>
      <c r="B31" s="4" t="s">
        <v>870</v>
      </c>
      <c r="C31" s="4" t="s">
        <v>502</v>
      </c>
      <c r="D31" s="4" t="s">
        <v>551</v>
      </c>
      <c r="E31" s="4" t="s">
        <v>552</v>
      </c>
      <c r="F31" s="4" t="s">
        <v>988</v>
      </c>
      <c r="G31" s="4" t="s">
        <v>40</v>
      </c>
      <c r="H31" s="6" t="n">
        <v>1</v>
      </c>
      <c r="I31" s="6" t="s">
        <v>910</v>
      </c>
      <c r="J31" s="4" t="str">
        <f aca="false">IF(OR(I31="A",I31="A-",I31="B+",I31="B",I31="B-",I31="C+",I31="C"),"Yes","No")</f>
        <v>Yes</v>
      </c>
      <c r="K31" s="7" t="n">
        <f aca="false">IF(J31="No",0,IF(G31="Quarter",ROUNDDOWN(H31*2/3,2),H31))</f>
        <v>1</v>
      </c>
      <c r="L31" s="4" t="s">
        <v>920</v>
      </c>
      <c r="M31" s="4" t="s">
        <v>990</v>
      </c>
      <c r="N31" s="4" t="s">
        <v>830</v>
      </c>
      <c r="O31" s="4" t="s">
        <v>991</v>
      </c>
    </row>
    <row r="32" customFormat="false" ht="23.25" hidden="false" customHeight="true" outlineLevel="0" collapsed="false">
      <c r="A32" s="4" t="s">
        <v>992</v>
      </c>
      <c r="B32" s="4" t="s">
        <v>874</v>
      </c>
      <c r="C32" s="4" t="s">
        <v>502</v>
      </c>
      <c r="D32" s="4" t="s">
        <v>546</v>
      </c>
      <c r="E32" s="4" t="s">
        <v>547</v>
      </c>
      <c r="F32" s="4" t="s">
        <v>993</v>
      </c>
      <c r="G32" s="4" t="s">
        <v>40</v>
      </c>
      <c r="H32" s="6" t="n">
        <v>3</v>
      </c>
      <c r="I32" s="6" t="s">
        <v>910</v>
      </c>
      <c r="J32" s="4" t="str">
        <f aca="false">IF(OR(I32="A",I32="A-",I32="B+",I32="B",I32="B-",I32="C+",I32="C"),"Yes","No")</f>
        <v>Yes</v>
      </c>
      <c r="K32" s="7" t="n">
        <f aca="false">IF(J32="No",0,IF(G32="Quarter",ROUNDDOWN(H32*2/3,2),H32))</f>
        <v>3</v>
      </c>
      <c r="L32" s="4" t="s">
        <v>44</v>
      </c>
      <c r="M32" s="4" t="s">
        <v>911</v>
      </c>
      <c r="N32" s="4" t="s">
        <v>733</v>
      </c>
      <c r="O32" s="4" t="s">
        <v>994</v>
      </c>
    </row>
    <row r="33" customFormat="false" ht="15" hidden="false" customHeight="true" outlineLevel="0" collapsed="false">
      <c r="A33" s="4" t="s">
        <v>995</v>
      </c>
      <c r="B33" s="4" t="s">
        <v>874</v>
      </c>
      <c r="C33" s="4" t="s">
        <v>502</v>
      </c>
      <c r="D33" s="4" t="s">
        <v>521</v>
      </c>
      <c r="E33" s="4" t="s">
        <v>522</v>
      </c>
      <c r="F33" s="4" t="s">
        <v>993</v>
      </c>
      <c r="G33" s="4" t="s">
        <v>40</v>
      </c>
      <c r="H33" s="6" t="n">
        <v>3</v>
      </c>
      <c r="I33" s="6" t="s">
        <v>996</v>
      </c>
      <c r="J33" s="4" t="str">
        <f aca="false">IF(OR(I33="A",I33="A-",I33="B+",I33="B",I33="B-",I33="C+",I33="C"),"Yes","No")</f>
        <v>No</v>
      </c>
      <c r="K33" s="7" t="n">
        <f aca="false">IF(J33="No",0,IF(G33="Quarter",ROUNDDOWN(H33*2/3,2),H33))</f>
        <v>0</v>
      </c>
      <c r="L33" s="4" t="s">
        <v>920</v>
      </c>
      <c r="M33" s="4" t="s">
        <v>997</v>
      </c>
      <c r="N33" s="4" t="s">
        <v>998</v>
      </c>
      <c r="O33" s="4" t="s">
        <v>999</v>
      </c>
    </row>
    <row r="34" customFormat="false" ht="23.25" hidden="false" customHeight="true" outlineLevel="0" collapsed="false">
      <c r="A34" s="4" t="s">
        <v>1000</v>
      </c>
      <c r="B34" s="4" t="s">
        <v>874</v>
      </c>
      <c r="C34" s="4" t="s">
        <v>211</v>
      </c>
      <c r="D34" s="4" t="s">
        <v>224</v>
      </c>
      <c r="E34" s="4" t="s">
        <v>225</v>
      </c>
      <c r="F34" s="4" t="s">
        <v>909</v>
      </c>
      <c r="G34" s="4" t="s">
        <v>40</v>
      </c>
      <c r="H34" s="6" t="n">
        <v>4</v>
      </c>
      <c r="I34" s="6" t="s">
        <v>945</v>
      </c>
      <c r="J34" s="4" t="str">
        <f aca="false">IF(OR(I34="A",I34="A-",I34="B+",I34="B",I34="B-",I34="C+",I34="C"),"Yes","No")</f>
        <v>No</v>
      </c>
      <c r="K34" s="7" t="n">
        <f aca="false">IF(J34="No",0,IF(G34="Quarter",ROUNDDOWN(H34*2/3,2),H34))</f>
        <v>0</v>
      </c>
      <c r="L34" s="4" t="s">
        <v>44</v>
      </c>
      <c r="M34" s="4" t="s">
        <v>946</v>
      </c>
      <c r="N34" s="4" t="s">
        <v>830</v>
      </c>
      <c r="O34" s="4" t="s">
        <v>1001</v>
      </c>
    </row>
    <row r="35" customFormat="false" ht="23.25" hidden="false" customHeight="true" outlineLevel="0" collapsed="false">
      <c r="A35" s="4" t="s">
        <v>1002</v>
      </c>
      <c r="B35" s="4" t="s">
        <v>874</v>
      </c>
      <c r="C35" s="4" t="s">
        <v>555</v>
      </c>
      <c r="D35" s="4" t="s">
        <v>567</v>
      </c>
      <c r="E35" s="4" t="s">
        <v>568</v>
      </c>
      <c r="F35" s="4" t="s">
        <v>909</v>
      </c>
      <c r="G35" s="4" t="s">
        <v>557</v>
      </c>
      <c r="H35" s="6" t="n">
        <v>5</v>
      </c>
      <c r="I35" s="6" t="s">
        <v>910</v>
      </c>
      <c r="J35" s="4" t="str">
        <f aca="false">IF(OR(I35="A",I35="A-",I35="B+",I35="B",I35="B-",I35="C+",I35="C"),"Yes","No")</f>
        <v>Yes</v>
      </c>
      <c r="K35" s="7" t="n">
        <f aca="false">IF(J35="No",0,IF(G35="Quarter",ROUNDDOWN(H35*2/3,2),H35))</f>
        <v>3.33</v>
      </c>
      <c r="L35" s="4" t="s">
        <v>920</v>
      </c>
      <c r="M35" s="4" t="s">
        <v>1003</v>
      </c>
      <c r="N35" s="4" t="s">
        <v>37</v>
      </c>
      <c r="O35" s="4" t="s">
        <v>1004</v>
      </c>
    </row>
    <row r="36" customFormat="false" ht="15" hidden="false" customHeight="true" outlineLevel="0" collapsed="false">
      <c r="A36" s="4" t="s">
        <v>1005</v>
      </c>
      <c r="B36" s="4" t="s">
        <v>874</v>
      </c>
      <c r="C36" s="4" t="s">
        <v>211</v>
      </c>
      <c r="D36" s="4" t="s">
        <v>343</v>
      </c>
      <c r="E36" s="4" t="s">
        <v>196</v>
      </c>
      <c r="F36" s="4" t="s">
        <v>916</v>
      </c>
      <c r="G36" s="4" t="s">
        <v>40</v>
      </c>
      <c r="H36" s="6" t="n">
        <v>4</v>
      </c>
      <c r="I36" s="6" t="s">
        <v>914</v>
      </c>
      <c r="J36" s="4" t="str">
        <f aca="false">IF(OR(I36="A",I36="A-",I36="B+",I36="B",I36="B-",I36="C+",I36="C"),"Yes","No")</f>
        <v>Yes</v>
      </c>
      <c r="K36" s="7" t="n">
        <f aca="false">IF(J36="No",0,IF(G36="Quarter",ROUNDDOWN(H36*2/3,2),H36))</f>
        <v>4</v>
      </c>
      <c r="L36" s="4" t="s">
        <v>44</v>
      </c>
      <c r="M36" s="4" t="s">
        <v>911</v>
      </c>
      <c r="N36" s="4" t="s">
        <v>195</v>
      </c>
      <c r="O36" s="4" t="s">
        <v>1006</v>
      </c>
    </row>
    <row r="37" customFormat="false" ht="15" hidden="false" customHeight="true" outlineLevel="0" collapsed="false">
      <c r="A37" s="4" t="s">
        <v>1007</v>
      </c>
      <c r="B37" s="4" t="s">
        <v>874</v>
      </c>
      <c r="C37" s="4" t="s">
        <v>211</v>
      </c>
      <c r="D37" s="4" t="s">
        <v>239</v>
      </c>
      <c r="E37" s="4" t="s">
        <v>240</v>
      </c>
      <c r="F37" s="4" t="s">
        <v>925</v>
      </c>
      <c r="G37" s="4" t="s">
        <v>40</v>
      </c>
      <c r="H37" s="6" t="n">
        <v>4</v>
      </c>
      <c r="I37" s="6" t="s">
        <v>917</v>
      </c>
      <c r="J37" s="4" t="str">
        <f aca="false">IF(OR(I37="A",I37="A-",I37="B+",I37="B",I37="B-",I37="C+",I37="C"),"Yes","No")</f>
        <v>Yes</v>
      </c>
      <c r="K37" s="7" t="n">
        <f aca="false">IF(J37="No",0,IF(G37="Quarter",ROUNDDOWN(H37*2/3,2),H37))</f>
        <v>4</v>
      </c>
      <c r="L37" s="4" t="s">
        <v>920</v>
      </c>
      <c r="M37" s="4" t="s">
        <v>942</v>
      </c>
      <c r="N37" s="4" t="s">
        <v>766</v>
      </c>
      <c r="O37" s="4" t="s">
        <v>1008</v>
      </c>
    </row>
    <row r="38" customFormat="false" ht="15" hidden="false" customHeight="true" outlineLevel="0" collapsed="false">
      <c r="A38" s="4" t="s">
        <v>1009</v>
      </c>
      <c r="B38" s="4" t="s">
        <v>874</v>
      </c>
      <c r="C38" s="4" t="s">
        <v>211</v>
      </c>
      <c r="D38" s="4" t="s">
        <v>263</v>
      </c>
      <c r="E38" s="4" t="s">
        <v>264</v>
      </c>
      <c r="F38" s="4" t="s">
        <v>916</v>
      </c>
      <c r="G38" s="4" t="s">
        <v>40</v>
      </c>
      <c r="H38" s="6" t="n">
        <v>4</v>
      </c>
      <c r="I38" s="6" t="s">
        <v>919</v>
      </c>
      <c r="J38" s="4" t="str">
        <f aca="false">IF(OR(I38="A",I38="A-",I38="B+",I38="B",I38="B-",I38="C+",I38="C"),"Yes","No")</f>
        <v>Yes</v>
      </c>
      <c r="K38" s="7" t="n">
        <f aca="false">IF(J38="No",0,IF(G38="Quarter",ROUNDDOWN(H38*2/3,2),H38))</f>
        <v>4</v>
      </c>
      <c r="L38" s="4" t="s">
        <v>44</v>
      </c>
      <c r="M38" s="4" t="s">
        <v>911</v>
      </c>
      <c r="N38" s="4" t="s">
        <v>96</v>
      </c>
      <c r="O38" s="4" t="s">
        <v>1010</v>
      </c>
    </row>
    <row r="39" customFormat="false" ht="15" hidden="false" customHeight="true" outlineLevel="0" collapsed="false">
      <c r="A39" s="4" t="s">
        <v>1011</v>
      </c>
      <c r="B39" s="4" t="s">
        <v>874</v>
      </c>
      <c r="C39" s="4" t="s">
        <v>211</v>
      </c>
      <c r="D39" s="4" t="s">
        <v>267</v>
      </c>
      <c r="E39" s="4" t="s">
        <v>268</v>
      </c>
      <c r="F39" s="4" t="s">
        <v>925</v>
      </c>
      <c r="G39" s="4" t="s">
        <v>40</v>
      </c>
      <c r="H39" s="6" t="n">
        <v>4</v>
      </c>
      <c r="I39" s="6" t="s">
        <v>914</v>
      </c>
      <c r="J39" s="4" t="str">
        <f aca="false">IF(OR(I39="A",I39="A-",I39="B+",I39="B",I39="B-",I39="C+",I39="C"),"Yes","No")</f>
        <v>Yes</v>
      </c>
      <c r="K39" s="7" t="n">
        <f aca="false">IF(J39="No",0,IF(G39="Quarter",ROUNDDOWN(H39*2/3,2),H39))</f>
        <v>4</v>
      </c>
      <c r="L39" s="4" t="s">
        <v>44</v>
      </c>
      <c r="M39" s="4" t="s">
        <v>911</v>
      </c>
      <c r="N39" s="4" t="s">
        <v>100</v>
      </c>
      <c r="O39" s="4" t="s">
        <v>1012</v>
      </c>
    </row>
    <row r="40" customFormat="false" ht="15" hidden="false" customHeight="true" outlineLevel="0" collapsed="false">
      <c r="A40" s="4" t="s">
        <v>1013</v>
      </c>
      <c r="B40" s="4" t="s">
        <v>874</v>
      </c>
      <c r="C40" s="4" t="s">
        <v>211</v>
      </c>
      <c r="D40" s="4" t="s">
        <v>271</v>
      </c>
      <c r="E40" s="4" t="s">
        <v>272</v>
      </c>
      <c r="F40" s="4" t="s">
        <v>925</v>
      </c>
      <c r="G40" s="4" t="s">
        <v>40</v>
      </c>
      <c r="H40" s="6" t="n">
        <v>4</v>
      </c>
      <c r="I40" s="6" t="s">
        <v>917</v>
      </c>
      <c r="J40" s="4" t="str">
        <f aca="false">IF(OR(I40="A",I40="A-",I40="B+",I40="B",I40="B-",I40="C+",I40="C"),"Yes","No")</f>
        <v>Yes</v>
      </c>
      <c r="K40" s="7" t="n">
        <f aca="false">IF(J40="No",0,IF(G40="Quarter",ROUNDDOWN(H40*2/3,2),H40))</f>
        <v>4</v>
      </c>
      <c r="L40" s="4" t="s">
        <v>44</v>
      </c>
      <c r="M40" s="4" t="s">
        <v>911</v>
      </c>
      <c r="N40" s="4" t="s">
        <v>104</v>
      </c>
      <c r="O40" s="4" t="s">
        <v>1014</v>
      </c>
    </row>
    <row r="41" customFormat="false" ht="15" hidden="false" customHeight="true" outlineLevel="0" collapsed="false">
      <c r="A41" s="4" t="s">
        <v>1015</v>
      </c>
      <c r="B41" s="4" t="s">
        <v>874</v>
      </c>
      <c r="C41" s="4" t="s">
        <v>555</v>
      </c>
      <c r="D41" s="4" t="s">
        <v>581</v>
      </c>
      <c r="E41" s="4" t="s">
        <v>582</v>
      </c>
      <c r="F41" s="4" t="s">
        <v>929</v>
      </c>
      <c r="G41" s="4" t="s">
        <v>557</v>
      </c>
      <c r="H41" s="6" t="n">
        <v>5</v>
      </c>
      <c r="I41" s="6" t="s">
        <v>919</v>
      </c>
      <c r="J41" s="4" t="str">
        <f aca="false">IF(OR(I41="A",I41="A-",I41="B+",I41="B",I41="B-",I41="C+",I41="C"),"Yes","No")</f>
        <v>Yes</v>
      </c>
      <c r="K41" s="7" t="n">
        <f aca="false">IF(J41="No",0,IF(G41="Quarter",ROUNDDOWN(H41*2/3,2),H41))</f>
        <v>3.33</v>
      </c>
      <c r="L41" s="4" t="s">
        <v>920</v>
      </c>
      <c r="M41" s="4" t="s">
        <v>930</v>
      </c>
      <c r="N41" s="4" t="s">
        <v>979</v>
      </c>
      <c r="O41" s="4" t="s">
        <v>1016</v>
      </c>
    </row>
    <row r="42" customFormat="false" ht="15" hidden="false" customHeight="true" outlineLevel="0" collapsed="false">
      <c r="A42" s="4" t="s">
        <v>1017</v>
      </c>
      <c r="B42" s="4" t="s">
        <v>874</v>
      </c>
      <c r="C42" s="4" t="s">
        <v>555</v>
      </c>
      <c r="D42" s="4" t="s">
        <v>585</v>
      </c>
      <c r="E42" s="4" t="s">
        <v>586</v>
      </c>
      <c r="F42" s="4" t="s">
        <v>929</v>
      </c>
      <c r="G42" s="4" t="s">
        <v>557</v>
      </c>
      <c r="H42" s="6" t="n">
        <v>5</v>
      </c>
      <c r="I42" s="6" t="s">
        <v>910</v>
      </c>
      <c r="J42" s="4" t="str">
        <f aca="false">IF(OR(I42="A",I42="A-",I42="B+",I42="B",I42="B-",I42="C+",I42="C"),"Yes","No")</f>
        <v>Yes</v>
      </c>
      <c r="K42" s="7" t="n">
        <f aca="false">IF(J42="No",0,IF(G42="Quarter",ROUNDDOWN(H42*2/3,2),H42))</f>
        <v>3.33</v>
      </c>
      <c r="L42" s="4" t="s">
        <v>920</v>
      </c>
      <c r="M42" s="4" t="s">
        <v>1018</v>
      </c>
      <c r="N42" s="4" t="s">
        <v>830</v>
      </c>
      <c r="O42" s="4" t="s">
        <v>1019</v>
      </c>
    </row>
    <row r="43" customFormat="false" ht="15" hidden="false" customHeight="true" outlineLevel="0" collapsed="false">
      <c r="A43" s="4" t="s">
        <v>1020</v>
      </c>
      <c r="B43" s="4" t="s">
        <v>878</v>
      </c>
      <c r="C43" s="4" t="s">
        <v>358</v>
      </c>
      <c r="D43" s="4" t="s">
        <v>447</v>
      </c>
      <c r="E43" s="4" t="s">
        <v>448</v>
      </c>
      <c r="F43" s="4" t="s">
        <v>909</v>
      </c>
      <c r="G43" s="4" t="s">
        <v>40</v>
      </c>
      <c r="H43" s="6" t="n">
        <v>4</v>
      </c>
      <c r="I43" s="6" t="s">
        <v>910</v>
      </c>
      <c r="J43" s="4" t="str">
        <f aca="false">IF(OR(I43="A",I43="A-",I43="B+",I43="B",I43="B-",I43="C+",I43="C"),"Yes","No")</f>
        <v>Yes</v>
      </c>
      <c r="K43" s="7" t="n">
        <f aca="false">IF(J43="No",0,IF(G43="Quarter",ROUNDDOWN(H43*2/3,2),H43))</f>
        <v>4</v>
      </c>
      <c r="L43" s="4" t="s">
        <v>44</v>
      </c>
      <c r="M43" s="4" t="s">
        <v>911</v>
      </c>
      <c r="N43" s="4" t="s">
        <v>149</v>
      </c>
      <c r="O43" s="4"/>
    </row>
    <row r="44" customFormat="false" ht="15" hidden="false" customHeight="true" outlineLevel="0" collapsed="false">
      <c r="A44" s="4" t="s">
        <v>1021</v>
      </c>
      <c r="B44" s="4" t="s">
        <v>878</v>
      </c>
      <c r="C44" s="4" t="s">
        <v>358</v>
      </c>
      <c r="D44" s="4" t="s">
        <v>451</v>
      </c>
      <c r="E44" s="4" t="s">
        <v>452</v>
      </c>
      <c r="F44" s="4" t="s">
        <v>916</v>
      </c>
      <c r="G44" s="4" t="s">
        <v>40</v>
      </c>
      <c r="H44" s="6" t="n">
        <v>4</v>
      </c>
      <c r="I44" s="6" t="s">
        <v>914</v>
      </c>
      <c r="J44" s="4" t="str">
        <f aca="false">IF(OR(I44="A",I44="A-",I44="B+",I44="B",I44="B-",I44="C+",I44="C"),"Yes","No")</f>
        <v>Yes</v>
      </c>
      <c r="K44" s="7" t="n">
        <f aca="false">IF(J44="No",0,IF(G44="Quarter",ROUNDDOWN(H44*2/3,2),H44))</f>
        <v>4</v>
      </c>
      <c r="L44" s="4" t="s">
        <v>44</v>
      </c>
      <c r="M44" s="4" t="s">
        <v>911</v>
      </c>
      <c r="N44" s="4" t="s">
        <v>154</v>
      </c>
      <c r="O44" s="4"/>
    </row>
    <row r="45" customFormat="false" ht="23.25" hidden="false" customHeight="true" outlineLevel="0" collapsed="false">
      <c r="A45" s="4" t="s">
        <v>1022</v>
      </c>
      <c r="B45" s="4" t="s">
        <v>878</v>
      </c>
      <c r="C45" s="4" t="s">
        <v>358</v>
      </c>
      <c r="D45" s="4" t="s">
        <v>455</v>
      </c>
      <c r="E45" s="4" t="s">
        <v>456</v>
      </c>
      <c r="F45" s="4" t="s">
        <v>925</v>
      </c>
      <c r="G45" s="4" t="s">
        <v>40</v>
      </c>
      <c r="H45" s="6" t="n">
        <v>4</v>
      </c>
      <c r="I45" s="6" t="s">
        <v>919</v>
      </c>
      <c r="J45" s="4" t="str">
        <f aca="false">IF(OR(I45="A",I45="A-",I45="B+",I45="B",I45="B-",I45="C+",I45="C"),"Yes","No")</f>
        <v>Yes</v>
      </c>
      <c r="K45" s="7" t="n">
        <f aca="false">IF(J45="No",0,IF(G45="Quarter",ROUNDDOWN(H45*2/3,2),H45))</f>
        <v>4</v>
      </c>
      <c r="L45" s="4" t="s">
        <v>920</v>
      </c>
      <c r="M45" s="4" t="s">
        <v>1023</v>
      </c>
      <c r="N45" s="4" t="s">
        <v>158</v>
      </c>
      <c r="O45" s="4" t="s">
        <v>1024</v>
      </c>
    </row>
    <row r="46" customFormat="false" ht="15" hidden="false" customHeight="true" outlineLevel="0" collapsed="false">
      <c r="A46" s="4" t="s">
        <v>1025</v>
      </c>
      <c r="B46" s="4" t="s">
        <v>878</v>
      </c>
      <c r="C46" s="4" t="s">
        <v>358</v>
      </c>
      <c r="D46" s="4" t="s">
        <v>459</v>
      </c>
      <c r="E46" s="4" t="s">
        <v>163</v>
      </c>
      <c r="F46" s="4" t="s">
        <v>867</v>
      </c>
      <c r="G46" s="4" t="s">
        <v>40</v>
      </c>
      <c r="H46" s="6" t="n">
        <v>4</v>
      </c>
      <c r="I46" s="6" t="s">
        <v>917</v>
      </c>
      <c r="J46" s="4" t="str">
        <f aca="false">IF(OR(I46="A",I46="A-",I46="B+",I46="B",I46="B-",I46="C+",I46="C"),"Yes","No")</f>
        <v>Yes</v>
      </c>
      <c r="K46" s="7" t="n">
        <f aca="false">IF(J46="No",0,IF(G46="Quarter",ROUNDDOWN(H46*2/3,2),H46))</f>
        <v>4</v>
      </c>
      <c r="L46" s="4" t="s">
        <v>44</v>
      </c>
      <c r="M46" s="4" t="s">
        <v>911</v>
      </c>
      <c r="N46" s="4" t="s">
        <v>162</v>
      </c>
      <c r="O46" s="4" t="s">
        <v>1026</v>
      </c>
    </row>
    <row r="47" customFormat="false" ht="23.25" hidden="false" customHeight="true" outlineLevel="0" collapsed="false">
      <c r="A47" s="4" t="s">
        <v>1027</v>
      </c>
      <c r="B47" s="4" t="s">
        <v>878</v>
      </c>
      <c r="C47" s="4" t="s">
        <v>358</v>
      </c>
      <c r="D47" s="4" t="s">
        <v>462</v>
      </c>
      <c r="E47" s="4" t="s">
        <v>463</v>
      </c>
      <c r="F47" s="4" t="s">
        <v>909</v>
      </c>
      <c r="G47" s="4" t="s">
        <v>40</v>
      </c>
      <c r="H47" s="6" t="n">
        <v>5</v>
      </c>
      <c r="I47" s="6" t="s">
        <v>919</v>
      </c>
      <c r="J47" s="4" t="str">
        <f aca="false">IF(OR(I47="A",I47="A-",I47="B+",I47="B",I47="B-",I47="C+",I47="C"),"Yes","No")</f>
        <v>Yes</v>
      </c>
      <c r="K47" s="7" t="n">
        <f aca="false">IF(J47="No",0,IF(G47="Quarter",ROUNDDOWN(H47*2/3,2),H47))</f>
        <v>5</v>
      </c>
      <c r="L47" s="4" t="s">
        <v>44</v>
      </c>
      <c r="M47" s="4" t="s">
        <v>911</v>
      </c>
      <c r="N47" s="4" t="s">
        <v>166</v>
      </c>
      <c r="O47" s="4"/>
    </row>
    <row r="48" customFormat="false" ht="23.25" hidden="false" customHeight="true" outlineLevel="0" collapsed="false">
      <c r="A48" s="4" t="s">
        <v>1028</v>
      </c>
      <c r="B48" s="4" t="s">
        <v>878</v>
      </c>
      <c r="C48" s="4" t="s">
        <v>358</v>
      </c>
      <c r="D48" s="4" t="s">
        <v>466</v>
      </c>
      <c r="E48" s="4" t="s">
        <v>467</v>
      </c>
      <c r="F48" s="4" t="s">
        <v>916</v>
      </c>
      <c r="G48" s="4" t="s">
        <v>40</v>
      </c>
      <c r="H48" s="6" t="n">
        <v>5</v>
      </c>
      <c r="I48" s="6" t="s">
        <v>1029</v>
      </c>
      <c r="J48" s="4" t="str">
        <f aca="false">IF(OR(I48="A",I48="A-",I48="B+",I48="B",I48="B-",I48="C+",I48="C"),"Yes","No")</f>
        <v>Yes</v>
      </c>
      <c r="K48" s="7" t="n">
        <f aca="false">IF(J48="No",0,IF(G48="Quarter",ROUNDDOWN(H48*2/3,2),H48))</f>
        <v>5</v>
      </c>
      <c r="L48" s="4" t="s">
        <v>44</v>
      </c>
      <c r="M48" s="4" t="s">
        <v>911</v>
      </c>
      <c r="N48" s="4" t="s">
        <v>170</v>
      </c>
      <c r="O48" s="4" t="s">
        <v>1030</v>
      </c>
    </row>
    <row r="49" customFormat="false" ht="15" hidden="false" customHeight="true" outlineLevel="0" collapsed="false">
      <c r="A49" s="4" t="s">
        <v>1031</v>
      </c>
      <c r="B49" s="4" t="s">
        <v>878</v>
      </c>
      <c r="C49" s="4" t="s">
        <v>358</v>
      </c>
      <c r="D49" s="4" t="s">
        <v>409</v>
      </c>
      <c r="E49" s="4" t="s">
        <v>410</v>
      </c>
      <c r="F49" s="4" t="s">
        <v>909</v>
      </c>
      <c r="G49" s="4" t="s">
        <v>40</v>
      </c>
      <c r="H49" s="6" t="n">
        <v>4</v>
      </c>
      <c r="I49" s="6" t="s">
        <v>910</v>
      </c>
      <c r="J49" s="4" t="str">
        <f aca="false">IF(OR(I49="A",I49="A-",I49="B+",I49="B",I49="B-",I49="C+",I49="C"),"Yes","No")</f>
        <v>Yes</v>
      </c>
      <c r="K49" s="7" t="n">
        <f aca="false">IF(J49="No",0,IF(G49="Quarter",ROUNDDOWN(H49*2/3,2),H49))</f>
        <v>4</v>
      </c>
      <c r="L49" s="4" t="s">
        <v>44</v>
      </c>
      <c r="M49" s="4" t="s">
        <v>911</v>
      </c>
      <c r="N49" s="4" t="s">
        <v>112</v>
      </c>
      <c r="O49" s="4"/>
    </row>
    <row r="50" customFormat="false" ht="15" hidden="false" customHeight="true" outlineLevel="0" collapsed="false">
      <c r="A50" s="4" t="s">
        <v>1032</v>
      </c>
      <c r="B50" s="4" t="s">
        <v>881</v>
      </c>
      <c r="C50" s="4" t="s">
        <v>358</v>
      </c>
      <c r="D50" s="4" t="s">
        <v>385</v>
      </c>
      <c r="E50" s="4" t="s">
        <v>386</v>
      </c>
      <c r="F50" s="4" t="s">
        <v>909</v>
      </c>
      <c r="G50" s="4" t="s">
        <v>40</v>
      </c>
      <c r="H50" s="6" t="n">
        <v>4</v>
      </c>
      <c r="I50" s="6" t="s">
        <v>910</v>
      </c>
      <c r="J50" s="4" t="str">
        <f aca="false">IF(OR(I50="A",I50="A-",I50="B+",I50="B",I50="B-",I50="C+",I50="C"),"Yes","No")</f>
        <v>Yes</v>
      </c>
      <c r="K50" s="7" t="n">
        <f aca="false">IF(J50="No",0,IF(G50="Quarter",ROUNDDOWN(H50*2/3,2),H50))</f>
        <v>4</v>
      </c>
      <c r="L50" s="4" t="s">
        <v>44</v>
      </c>
      <c r="M50" s="4" t="s">
        <v>911</v>
      </c>
      <c r="N50" s="4" t="s">
        <v>87</v>
      </c>
      <c r="O50" s="4"/>
    </row>
    <row r="51" customFormat="false" ht="15" hidden="false" customHeight="true" outlineLevel="0" collapsed="false">
      <c r="A51" s="4" t="s">
        <v>1033</v>
      </c>
      <c r="B51" s="4" t="s">
        <v>881</v>
      </c>
      <c r="C51" s="4" t="s">
        <v>358</v>
      </c>
      <c r="D51" s="4" t="s">
        <v>389</v>
      </c>
      <c r="E51" s="4" t="s">
        <v>390</v>
      </c>
      <c r="F51" s="4" t="s">
        <v>916</v>
      </c>
      <c r="G51" s="4" t="s">
        <v>40</v>
      </c>
      <c r="H51" s="6" t="n">
        <v>4</v>
      </c>
      <c r="I51" s="6" t="s">
        <v>917</v>
      </c>
      <c r="J51" s="4" t="str">
        <f aca="false">IF(OR(I51="A",I51="A-",I51="B+",I51="B",I51="B-",I51="C+",I51="C"),"Yes","No")</f>
        <v>Yes</v>
      </c>
      <c r="K51" s="7" t="n">
        <f aca="false">IF(J51="No",0,IF(G51="Quarter",ROUNDDOWN(H51*2/3,2),H51))</f>
        <v>4</v>
      </c>
      <c r="L51" s="4" t="s">
        <v>44</v>
      </c>
      <c r="M51" s="4" t="s">
        <v>911</v>
      </c>
      <c r="N51" s="4" t="s">
        <v>92</v>
      </c>
      <c r="O51" s="4"/>
    </row>
    <row r="52" customFormat="false" ht="15" hidden="false" customHeight="true" outlineLevel="0" collapsed="false">
      <c r="A52" s="4" t="s">
        <v>1034</v>
      </c>
      <c r="B52" s="4" t="s">
        <v>881</v>
      </c>
      <c r="C52" s="4" t="s">
        <v>358</v>
      </c>
      <c r="D52" s="4" t="s">
        <v>393</v>
      </c>
      <c r="E52" s="4" t="s">
        <v>394</v>
      </c>
      <c r="F52" s="4" t="s">
        <v>925</v>
      </c>
      <c r="G52" s="4" t="s">
        <v>40</v>
      </c>
      <c r="H52" s="6" t="n">
        <v>4</v>
      </c>
      <c r="I52" s="6" t="s">
        <v>914</v>
      </c>
      <c r="J52" s="4" t="str">
        <f aca="false">IF(OR(I52="A",I52="A-",I52="B+",I52="B",I52="B-",I52="C+",I52="C"),"Yes","No")</f>
        <v>Yes</v>
      </c>
      <c r="K52" s="7" t="n">
        <f aca="false">IF(J52="No",0,IF(G52="Quarter",ROUNDDOWN(H52*2/3,2),H52))</f>
        <v>4</v>
      </c>
      <c r="L52" s="4" t="s">
        <v>44</v>
      </c>
      <c r="M52" s="4" t="s">
        <v>911</v>
      </c>
      <c r="N52" s="4" t="s">
        <v>96</v>
      </c>
      <c r="O52" s="4" t="s">
        <v>1035</v>
      </c>
    </row>
    <row r="53" customFormat="false" ht="15" hidden="false" customHeight="true" outlineLevel="0" collapsed="false">
      <c r="A53" s="4" t="s">
        <v>1036</v>
      </c>
      <c r="B53" s="4" t="s">
        <v>881</v>
      </c>
      <c r="C53" s="4" t="s">
        <v>358</v>
      </c>
      <c r="D53" s="4" t="s">
        <v>397</v>
      </c>
      <c r="E53" s="4" t="s">
        <v>398</v>
      </c>
      <c r="F53" s="4" t="s">
        <v>925</v>
      </c>
      <c r="G53" s="4" t="s">
        <v>40</v>
      </c>
      <c r="H53" s="6" t="n">
        <v>4</v>
      </c>
      <c r="I53" s="6" t="s">
        <v>919</v>
      </c>
      <c r="J53" s="4" t="str">
        <f aca="false">IF(OR(I53="A",I53="A-",I53="B+",I53="B",I53="B-",I53="C+",I53="C"),"Yes","No")</f>
        <v>Yes</v>
      </c>
      <c r="K53" s="7" t="n">
        <f aca="false">IF(J53="No",0,IF(G53="Quarter",ROUNDDOWN(H53*2/3,2),H53))</f>
        <v>4</v>
      </c>
      <c r="L53" s="4" t="s">
        <v>44</v>
      </c>
      <c r="M53" s="4" t="s">
        <v>911</v>
      </c>
      <c r="N53" s="4" t="s">
        <v>100</v>
      </c>
      <c r="O53" s="4" t="s">
        <v>1037</v>
      </c>
    </row>
    <row r="54" customFormat="false" ht="15" hidden="false" customHeight="true" outlineLevel="0" collapsed="false">
      <c r="A54" s="4" t="s">
        <v>1038</v>
      </c>
      <c r="B54" s="4" t="s">
        <v>881</v>
      </c>
      <c r="C54" s="4" t="s">
        <v>358</v>
      </c>
      <c r="D54" s="4" t="s">
        <v>401</v>
      </c>
      <c r="E54" s="4" t="s">
        <v>402</v>
      </c>
      <c r="F54" s="4" t="s">
        <v>867</v>
      </c>
      <c r="G54" s="4" t="s">
        <v>40</v>
      </c>
      <c r="H54" s="6" t="n">
        <v>4</v>
      </c>
      <c r="I54" s="6" t="s">
        <v>910</v>
      </c>
      <c r="J54" s="4" t="str">
        <f aca="false">IF(OR(I54="A",I54="A-",I54="B+",I54="B",I54="B-",I54="C+",I54="C"),"Yes","No")</f>
        <v>Yes</v>
      </c>
      <c r="K54" s="7" t="n">
        <f aca="false">IF(J54="No",0,IF(G54="Quarter",ROUNDDOWN(H54*2/3,2),H54))</f>
        <v>4</v>
      </c>
      <c r="L54" s="4" t="s">
        <v>44</v>
      </c>
      <c r="M54" s="4" t="s">
        <v>911</v>
      </c>
      <c r="N54" s="4" t="s">
        <v>104</v>
      </c>
      <c r="O54" s="4" t="s">
        <v>1039</v>
      </c>
    </row>
    <row r="55" customFormat="false" ht="23.25" hidden="false" customHeight="true" outlineLevel="0" collapsed="false">
      <c r="A55" s="4" t="s">
        <v>1040</v>
      </c>
      <c r="B55" s="4" t="s">
        <v>881</v>
      </c>
      <c r="C55" s="4" t="s">
        <v>358</v>
      </c>
      <c r="D55" s="4" t="s">
        <v>477</v>
      </c>
      <c r="E55" s="4" t="s">
        <v>183</v>
      </c>
      <c r="F55" s="4" t="s">
        <v>909</v>
      </c>
      <c r="G55" s="4" t="s">
        <v>40</v>
      </c>
      <c r="H55" s="6" t="n">
        <v>4</v>
      </c>
      <c r="I55" s="6" t="s">
        <v>914</v>
      </c>
      <c r="J55" s="4" t="str">
        <f aca="false">IF(OR(I55="A",I55="A-",I55="B+",I55="B",I55="B-",I55="C+",I55="C"),"Yes","No")</f>
        <v>Yes</v>
      </c>
      <c r="K55" s="7" t="n">
        <f aca="false">IF(J55="No",0,IF(G55="Quarter",ROUNDDOWN(H55*2/3,2),H55))</f>
        <v>4</v>
      </c>
      <c r="L55" s="4" t="s">
        <v>44</v>
      </c>
      <c r="M55" s="4" t="s">
        <v>911</v>
      </c>
      <c r="N55" s="4" t="s">
        <v>182</v>
      </c>
      <c r="O55" s="4"/>
    </row>
    <row r="56" customFormat="false" ht="15" hidden="false" customHeight="true" outlineLevel="0" collapsed="false">
      <c r="A56" s="4" t="s">
        <v>1041</v>
      </c>
      <c r="B56" s="4" t="s">
        <v>884</v>
      </c>
      <c r="C56" s="4" t="s">
        <v>211</v>
      </c>
      <c r="D56" s="4" t="s">
        <v>301</v>
      </c>
      <c r="E56" s="4" t="s">
        <v>302</v>
      </c>
      <c r="F56" s="4" t="s">
        <v>909</v>
      </c>
      <c r="G56" s="4" t="s">
        <v>40</v>
      </c>
      <c r="H56" s="6" t="n">
        <v>5</v>
      </c>
      <c r="I56" s="6" t="s">
        <v>917</v>
      </c>
      <c r="J56" s="4" t="str">
        <f aca="false">IF(OR(I56="A",I56="A-",I56="B+",I56="B",I56="B-",I56="C+",I56="C"),"Yes","No")</f>
        <v>Yes</v>
      </c>
      <c r="K56" s="7" t="n">
        <f aca="false">IF(J56="No",0,IF(G56="Quarter",ROUNDDOWN(H56*2/3,2),H56))</f>
        <v>5</v>
      </c>
      <c r="L56" s="4" t="s">
        <v>44</v>
      </c>
      <c r="M56" s="4" t="s">
        <v>911</v>
      </c>
      <c r="N56" s="4" t="s">
        <v>149</v>
      </c>
      <c r="O56" s="4"/>
    </row>
    <row r="57" customFormat="false" ht="15" hidden="false" customHeight="true" outlineLevel="0" collapsed="false">
      <c r="A57" s="4" t="s">
        <v>1042</v>
      </c>
      <c r="B57" s="4" t="s">
        <v>884</v>
      </c>
      <c r="C57" s="4" t="s">
        <v>211</v>
      </c>
      <c r="D57" s="4" t="s">
        <v>305</v>
      </c>
      <c r="E57" s="4" t="s">
        <v>306</v>
      </c>
      <c r="F57" s="4" t="s">
        <v>916</v>
      </c>
      <c r="G57" s="4" t="s">
        <v>40</v>
      </c>
      <c r="H57" s="6" t="n">
        <v>4</v>
      </c>
      <c r="I57" s="6" t="s">
        <v>914</v>
      </c>
      <c r="J57" s="4" t="str">
        <f aca="false">IF(OR(I57="A",I57="A-",I57="B+",I57="B",I57="B-",I57="C+",I57="C"),"Yes","No")</f>
        <v>Yes</v>
      </c>
      <c r="K57" s="7" t="n">
        <f aca="false">IF(J57="No",0,IF(G57="Quarter",ROUNDDOWN(H57*2/3,2),H57))</f>
        <v>4</v>
      </c>
      <c r="L57" s="4" t="s">
        <v>44</v>
      </c>
      <c r="M57" s="4" t="s">
        <v>911</v>
      </c>
      <c r="N57" s="4" t="s">
        <v>154</v>
      </c>
      <c r="O57" s="4"/>
    </row>
    <row r="58" customFormat="false" ht="23.25" hidden="false" customHeight="true" outlineLevel="0" collapsed="false">
      <c r="A58" s="4" t="s">
        <v>1043</v>
      </c>
      <c r="B58" s="4" t="s">
        <v>884</v>
      </c>
      <c r="C58" s="4" t="s">
        <v>211</v>
      </c>
      <c r="D58" s="4" t="s">
        <v>321</v>
      </c>
      <c r="E58" s="4" t="s">
        <v>322</v>
      </c>
      <c r="F58" s="4" t="s">
        <v>909</v>
      </c>
      <c r="G58" s="4" t="s">
        <v>40</v>
      </c>
      <c r="H58" s="6" t="n">
        <v>5</v>
      </c>
      <c r="I58" s="6" t="s">
        <v>919</v>
      </c>
      <c r="J58" s="4" t="str">
        <f aca="false">IF(OR(I58="A",I58="A-",I58="B+",I58="B",I58="B-",I58="C+",I58="C"),"Yes","No")</f>
        <v>Yes</v>
      </c>
      <c r="K58" s="7" t="n">
        <f aca="false">IF(J58="No",0,IF(G58="Quarter",ROUNDDOWN(H58*2/3,2),H58))</f>
        <v>5</v>
      </c>
      <c r="L58" s="4" t="s">
        <v>920</v>
      </c>
      <c r="M58" s="4" t="s">
        <v>1044</v>
      </c>
      <c r="N58" s="4" t="s">
        <v>1045</v>
      </c>
      <c r="O58" s="4" t="s">
        <v>1046</v>
      </c>
    </row>
    <row r="59" customFormat="false" ht="15" hidden="false" customHeight="true" outlineLevel="0" collapsed="false">
      <c r="A59" s="4" t="s">
        <v>1047</v>
      </c>
      <c r="B59" s="4" t="s">
        <v>884</v>
      </c>
      <c r="C59" s="4" t="s">
        <v>211</v>
      </c>
      <c r="D59" s="4" t="s">
        <v>325</v>
      </c>
      <c r="E59" s="4" t="s">
        <v>175</v>
      </c>
      <c r="F59" s="4" t="s">
        <v>925</v>
      </c>
      <c r="G59" s="4" t="s">
        <v>40</v>
      </c>
      <c r="H59" s="6" t="n">
        <v>5</v>
      </c>
      <c r="I59" s="6" t="s">
        <v>919</v>
      </c>
      <c r="J59" s="4" t="str">
        <f aca="false">IF(OR(I59="A",I59="A-",I59="B+",I59="B",I59="B-",I59="C+",I59="C"),"Yes","No")</f>
        <v>Yes</v>
      </c>
      <c r="K59" s="7" t="n">
        <f aca="false">IF(J59="No",0,IF(G59="Quarter",ROUNDDOWN(H59*2/3,2),H59))</f>
        <v>5</v>
      </c>
      <c r="L59" s="4" t="s">
        <v>44</v>
      </c>
      <c r="M59" s="4" t="s">
        <v>911</v>
      </c>
      <c r="N59" s="4" t="s">
        <v>174</v>
      </c>
      <c r="O59" s="4"/>
    </row>
    <row r="60" customFormat="false" ht="23.25" hidden="false" customHeight="true" outlineLevel="0" collapsed="false">
      <c r="A60" s="4" t="s">
        <v>1048</v>
      </c>
      <c r="B60" s="4" t="s">
        <v>884</v>
      </c>
      <c r="C60" s="4" t="s">
        <v>211</v>
      </c>
      <c r="D60" s="4" t="s">
        <v>313</v>
      </c>
      <c r="E60" s="4" t="s">
        <v>314</v>
      </c>
      <c r="F60" s="4" t="s">
        <v>867</v>
      </c>
      <c r="G60" s="4" t="s">
        <v>40</v>
      </c>
      <c r="H60" s="6" t="n">
        <v>5</v>
      </c>
      <c r="I60" s="6" t="s">
        <v>917</v>
      </c>
      <c r="J60" s="4" t="str">
        <f aca="false">IF(OR(I60="A",I60="A-",I60="B+",I60="B",I60="B-",I60="C+",I60="C"),"Yes","No")</f>
        <v>Yes</v>
      </c>
      <c r="K60" s="7" t="n">
        <f aca="false">IF(J60="No",0,IF(G60="Quarter",ROUNDDOWN(H60*2/3,2),H60))</f>
        <v>5</v>
      </c>
      <c r="L60" s="4" t="s">
        <v>920</v>
      </c>
      <c r="M60" s="4" t="s">
        <v>1023</v>
      </c>
      <c r="N60" s="4" t="s">
        <v>162</v>
      </c>
      <c r="O60" s="4" t="s">
        <v>1049</v>
      </c>
    </row>
    <row r="61" customFormat="false" ht="15" hidden="false" customHeight="true" outlineLevel="0" collapsed="false">
      <c r="A61" s="4" t="s">
        <v>1050</v>
      </c>
      <c r="B61" s="4" t="s">
        <v>884</v>
      </c>
      <c r="C61" s="4" t="s">
        <v>211</v>
      </c>
      <c r="D61" s="4" t="s">
        <v>331</v>
      </c>
      <c r="E61" s="4" t="s">
        <v>332</v>
      </c>
      <c r="F61" s="4" t="s">
        <v>909</v>
      </c>
      <c r="G61" s="4" t="s">
        <v>40</v>
      </c>
      <c r="H61" s="6" t="n">
        <v>4</v>
      </c>
      <c r="I61" s="6" t="s">
        <v>919</v>
      </c>
      <c r="J61" s="4" t="str">
        <f aca="false">IF(OR(I61="A",I61="A-",I61="B+",I61="B",I61="B-",I61="C+",I61="C"),"Yes","No")</f>
        <v>Yes</v>
      </c>
      <c r="K61" s="7" t="n">
        <f aca="false">IF(J61="No",0,IF(G61="Quarter",ROUNDDOWN(H61*2/3,2),H61))</f>
        <v>4</v>
      </c>
      <c r="L61" s="4" t="s">
        <v>44</v>
      </c>
      <c r="M61" s="4" t="s">
        <v>911</v>
      </c>
      <c r="N61" s="4" t="s">
        <v>182</v>
      </c>
      <c r="O61" s="4"/>
    </row>
    <row r="62" customFormat="false" ht="23.25" hidden="false" customHeight="true" outlineLevel="0" collapsed="false">
      <c r="A62" s="4" t="s">
        <v>1051</v>
      </c>
      <c r="B62" s="4" t="s">
        <v>887</v>
      </c>
      <c r="C62" s="4" t="s">
        <v>358</v>
      </c>
      <c r="D62" s="4" t="s">
        <v>477</v>
      </c>
      <c r="E62" s="4" t="s">
        <v>183</v>
      </c>
      <c r="F62" s="4" t="s">
        <v>909</v>
      </c>
      <c r="G62" s="4" t="s">
        <v>40</v>
      </c>
      <c r="H62" s="6" t="n">
        <v>4</v>
      </c>
      <c r="I62" s="6" t="s">
        <v>910</v>
      </c>
      <c r="J62" s="4" t="str">
        <f aca="false">IF(OR(I62="A",I62="A-",I62="B+",I62="B",I62="B-",I62="C+",I62="C"),"Yes","No")</f>
        <v>Yes</v>
      </c>
      <c r="K62" s="7" t="n">
        <f aca="false">IF(J62="No",0,IF(G62="Quarter",ROUNDDOWN(H62*2/3,2),H62))</f>
        <v>4</v>
      </c>
      <c r="L62" s="4" t="s">
        <v>44</v>
      </c>
      <c r="M62" s="4" t="s">
        <v>911</v>
      </c>
      <c r="N62" s="4" t="s">
        <v>182</v>
      </c>
      <c r="O62" s="4"/>
    </row>
    <row r="63" customFormat="false" ht="23.25" hidden="false" customHeight="true" outlineLevel="0" collapsed="false">
      <c r="A63" s="4" t="s">
        <v>1052</v>
      </c>
      <c r="B63" s="4" t="s">
        <v>887</v>
      </c>
      <c r="C63" s="4" t="s">
        <v>358</v>
      </c>
      <c r="D63" s="4" t="s">
        <v>480</v>
      </c>
      <c r="E63" s="4" t="s">
        <v>188</v>
      </c>
      <c r="F63" s="4" t="s">
        <v>916</v>
      </c>
      <c r="G63" s="4" t="s">
        <v>40</v>
      </c>
      <c r="H63" s="6" t="n">
        <v>4</v>
      </c>
      <c r="I63" s="6" t="s">
        <v>917</v>
      </c>
      <c r="J63" s="4" t="str">
        <f aca="false">IF(OR(I63="A",I63="A-",I63="B+",I63="B",I63="B-",I63="C+",I63="C"),"Yes","No")</f>
        <v>Yes</v>
      </c>
      <c r="K63" s="7" t="n">
        <f aca="false">IF(J63="No",0,IF(G63="Quarter",ROUNDDOWN(H63*2/3,2),H63))</f>
        <v>4</v>
      </c>
      <c r="L63" s="4" t="s">
        <v>44</v>
      </c>
      <c r="M63" s="4" t="s">
        <v>911</v>
      </c>
      <c r="N63" s="4" t="s">
        <v>187</v>
      </c>
      <c r="O63" s="4"/>
    </row>
    <row r="64" customFormat="false" ht="23.25" hidden="false" customHeight="true" outlineLevel="0" collapsed="false">
      <c r="A64" s="4" t="s">
        <v>1053</v>
      </c>
      <c r="B64" s="4" t="s">
        <v>887</v>
      </c>
      <c r="C64" s="4" t="s">
        <v>358</v>
      </c>
      <c r="D64" s="4" t="s">
        <v>483</v>
      </c>
      <c r="E64" s="4" t="s">
        <v>484</v>
      </c>
      <c r="F64" s="4" t="s">
        <v>925</v>
      </c>
      <c r="G64" s="4" t="s">
        <v>40</v>
      </c>
      <c r="H64" s="6" t="n">
        <v>4</v>
      </c>
      <c r="I64" s="6" t="s">
        <v>914</v>
      </c>
      <c r="J64" s="4" t="str">
        <f aca="false">IF(OR(I64="A",I64="A-",I64="B+",I64="B",I64="B-",I64="C+",I64="C"),"Yes","No")</f>
        <v>Yes</v>
      </c>
      <c r="K64" s="7" t="n">
        <f aca="false">IF(J64="No",0,IF(G64="Quarter",ROUNDDOWN(H64*2/3,2),H64))</f>
        <v>4</v>
      </c>
      <c r="L64" s="4" t="s">
        <v>44</v>
      </c>
      <c r="M64" s="4" t="s">
        <v>911</v>
      </c>
      <c r="N64" s="4" t="s">
        <v>191</v>
      </c>
      <c r="O64" s="4"/>
    </row>
    <row r="65" customFormat="false" ht="23.25" hidden="false" customHeight="true" outlineLevel="0" collapsed="false">
      <c r="A65" s="4" t="s">
        <v>1054</v>
      </c>
      <c r="B65" s="4" t="s">
        <v>887</v>
      </c>
      <c r="C65" s="4" t="s">
        <v>358</v>
      </c>
      <c r="D65" s="4" t="s">
        <v>487</v>
      </c>
      <c r="E65" s="4" t="s">
        <v>196</v>
      </c>
      <c r="F65" s="4" t="s">
        <v>925</v>
      </c>
      <c r="G65" s="4" t="s">
        <v>40</v>
      </c>
      <c r="H65" s="6" t="n">
        <v>4</v>
      </c>
      <c r="I65" s="6" t="s">
        <v>919</v>
      </c>
      <c r="J65" s="4" t="str">
        <f aca="false">IF(OR(I65="A",I65="A-",I65="B+",I65="B",I65="B-",I65="C+",I65="C"),"Yes","No")</f>
        <v>Yes</v>
      </c>
      <c r="K65" s="7" t="n">
        <f aca="false">IF(J65="No",0,IF(G65="Quarter",ROUNDDOWN(H65*2/3,2),H65))</f>
        <v>4</v>
      </c>
      <c r="L65" s="4" t="s">
        <v>44</v>
      </c>
      <c r="M65" s="4" t="s">
        <v>911</v>
      </c>
      <c r="N65" s="4" t="s">
        <v>195</v>
      </c>
      <c r="O65" s="4"/>
    </row>
    <row r="66" customFormat="false" ht="23.25" hidden="false" customHeight="true" outlineLevel="0" collapsed="false">
      <c r="A66" s="4" t="s">
        <v>1055</v>
      </c>
      <c r="B66" s="4" t="s">
        <v>887</v>
      </c>
      <c r="C66" s="4" t="s">
        <v>358</v>
      </c>
      <c r="D66" s="4" t="s">
        <v>498</v>
      </c>
      <c r="E66" s="4" t="s">
        <v>499</v>
      </c>
      <c r="F66" s="4" t="s">
        <v>867</v>
      </c>
      <c r="G66" s="4" t="s">
        <v>40</v>
      </c>
      <c r="H66" s="6" t="n">
        <v>4</v>
      </c>
      <c r="I66" s="6" t="s">
        <v>917</v>
      </c>
      <c r="J66" s="4" t="str">
        <f aca="false">IF(OR(I66="A",I66="A-",I66="B+",I66="B",I66="B-",I66="C+",I66="C"),"Yes","No")</f>
        <v>Yes</v>
      </c>
      <c r="K66" s="7" t="n">
        <f aca="false">IF(J66="No",0,IF(G66="Quarter",ROUNDDOWN(H66*2/3,2),H66))</f>
        <v>4</v>
      </c>
      <c r="L66" s="4" t="s">
        <v>920</v>
      </c>
      <c r="M66" s="4" t="s">
        <v>1056</v>
      </c>
      <c r="N66" s="4" t="s">
        <v>759</v>
      </c>
      <c r="O66" s="4" t="s">
        <v>1057</v>
      </c>
    </row>
    <row r="67" customFormat="false" ht="15" hidden="false" customHeight="true" outlineLevel="0" collapsed="false">
      <c r="A67" s="4" t="s">
        <v>1058</v>
      </c>
      <c r="B67" s="4" t="s">
        <v>890</v>
      </c>
      <c r="C67" s="4" t="s">
        <v>211</v>
      </c>
      <c r="D67" s="4" t="s">
        <v>255</v>
      </c>
      <c r="E67" s="4" t="s">
        <v>256</v>
      </c>
      <c r="F67" s="4" t="s">
        <v>909</v>
      </c>
      <c r="G67" s="4" t="s">
        <v>40</v>
      </c>
      <c r="H67" s="6" t="n">
        <v>4</v>
      </c>
      <c r="I67" s="6" t="s">
        <v>910</v>
      </c>
      <c r="J67" s="4" t="str">
        <f aca="false">IF(OR(I67="A",I67="A-",I67="B+",I67="B",I67="B-",I67="C+",I67="C"),"Yes","No")</f>
        <v>Yes</v>
      </c>
      <c r="K67" s="7" t="n">
        <f aca="false">IF(J67="No",0,IF(G67="Quarter",ROUNDDOWN(H67*2/3,2),H67))</f>
        <v>4</v>
      </c>
      <c r="L67" s="4" t="s">
        <v>44</v>
      </c>
      <c r="M67" s="4" t="s">
        <v>911</v>
      </c>
      <c r="N67" s="4" t="s">
        <v>87</v>
      </c>
      <c r="O67" s="4"/>
    </row>
    <row r="68" customFormat="false" ht="15" hidden="false" customHeight="true" outlineLevel="0" collapsed="false">
      <c r="A68" s="4" t="s">
        <v>1059</v>
      </c>
      <c r="B68" s="4" t="s">
        <v>890</v>
      </c>
      <c r="C68" s="4" t="s">
        <v>211</v>
      </c>
      <c r="D68" s="4" t="s">
        <v>259</v>
      </c>
      <c r="E68" s="4" t="s">
        <v>260</v>
      </c>
      <c r="F68" s="4" t="s">
        <v>916</v>
      </c>
      <c r="G68" s="4" t="s">
        <v>40</v>
      </c>
      <c r="H68" s="6" t="n">
        <v>4</v>
      </c>
      <c r="I68" s="6" t="s">
        <v>914</v>
      </c>
      <c r="J68" s="4" t="str">
        <f aca="false">IF(OR(I68="A",I68="A-",I68="B+",I68="B",I68="B-",I68="C+",I68="C"),"Yes","No")</f>
        <v>Yes</v>
      </c>
      <c r="K68" s="7" t="n">
        <f aca="false">IF(J68="No",0,IF(G68="Quarter",ROUNDDOWN(H68*2/3,2),H68))</f>
        <v>4</v>
      </c>
      <c r="L68" s="4" t="s">
        <v>44</v>
      </c>
      <c r="M68" s="4" t="s">
        <v>911</v>
      </c>
      <c r="N68" s="4" t="s">
        <v>92</v>
      </c>
      <c r="O68" s="4"/>
    </row>
    <row r="69" customFormat="false" ht="15" hidden="false" customHeight="true" outlineLevel="0" collapsed="false">
      <c r="A69" s="4" t="s">
        <v>1060</v>
      </c>
      <c r="B69" s="4" t="s">
        <v>890</v>
      </c>
      <c r="C69" s="4" t="s">
        <v>211</v>
      </c>
      <c r="D69" s="4" t="s">
        <v>263</v>
      </c>
      <c r="E69" s="4" t="s">
        <v>264</v>
      </c>
      <c r="F69" s="4" t="s">
        <v>925</v>
      </c>
      <c r="G69" s="4" t="s">
        <v>40</v>
      </c>
      <c r="H69" s="6" t="n">
        <v>4</v>
      </c>
      <c r="I69" s="6" t="s">
        <v>919</v>
      </c>
      <c r="J69" s="4" t="str">
        <f aca="false">IF(OR(I69="A",I69="A-",I69="B+",I69="B",I69="B-",I69="C+",I69="C"),"Yes","No")</f>
        <v>Yes</v>
      </c>
      <c r="K69" s="7" t="n">
        <f aca="false">IF(J69="No",0,IF(G69="Quarter",ROUNDDOWN(H69*2/3,2),H69))</f>
        <v>4</v>
      </c>
      <c r="L69" s="4" t="s">
        <v>44</v>
      </c>
      <c r="M69" s="4" t="s">
        <v>911</v>
      </c>
      <c r="N69" s="4" t="s">
        <v>96</v>
      </c>
      <c r="O69" s="4"/>
    </row>
    <row r="70" customFormat="false" ht="15" hidden="false" customHeight="true" outlineLevel="0" collapsed="false">
      <c r="A70" s="4" t="s">
        <v>1061</v>
      </c>
      <c r="B70" s="4" t="s">
        <v>890</v>
      </c>
      <c r="C70" s="4" t="s">
        <v>211</v>
      </c>
      <c r="D70" s="4" t="s">
        <v>267</v>
      </c>
      <c r="E70" s="4" t="s">
        <v>268</v>
      </c>
      <c r="F70" s="4" t="s">
        <v>925</v>
      </c>
      <c r="G70" s="4" t="s">
        <v>40</v>
      </c>
      <c r="H70" s="6" t="n">
        <v>4</v>
      </c>
      <c r="I70" s="6" t="s">
        <v>914</v>
      </c>
      <c r="J70" s="4" t="str">
        <f aca="false">IF(OR(I70="A",I70="A-",I70="B+",I70="B",I70="B-",I70="C+",I70="C"),"Yes","No")</f>
        <v>Yes</v>
      </c>
      <c r="K70" s="7" t="n">
        <f aca="false">IF(J70="No",0,IF(G70="Quarter",ROUNDDOWN(H70*2/3,2),H70))</f>
        <v>4</v>
      </c>
      <c r="L70" s="4" t="s">
        <v>44</v>
      </c>
      <c r="M70" s="4" t="s">
        <v>911</v>
      </c>
      <c r="N70" s="4" t="s">
        <v>100</v>
      </c>
      <c r="O70" s="4"/>
    </row>
    <row r="71" customFormat="false" ht="23.25" hidden="false" customHeight="true" outlineLevel="0" collapsed="false">
      <c r="A71" s="4" t="s">
        <v>1062</v>
      </c>
      <c r="B71" s="4" t="s">
        <v>890</v>
      </c>
      <c r="C71" s="4" t="s">
        <v>211</v>
      </c>
      <c r="D71" s="4" t="s">
        <v>275</v>
      </c>
      <c r="E71" s="4" t="s">
        <v>276</v>
      </c>
      <c r="F71" s="4" t="s">
        <v>867</v>
      </c>
      <c r="G71" s="4" t="s">
        <v>40</v>
      </c>
      <c r="H71" s="6" t="n">
        <v>4</v>
      </c>
      <c r="I71" s="6" t="s">
        <v>917</v>
      </c>
      <c r="J71" s="4" t="str">
        <f aca="false">IF(OR(I71="A",I71="A-",I71="B+",I71="B",I71="B-",I71="C+",I71="C"),"Yes","No")</f>
        <v>Yes</v>
      </c>
      <c r="K71" s="7" t="n">
        <f aca="false">IF(J71="No",0,IF(G71="Quarter",ROUNDDOWN(H71*2/3,2),H71))</f>
        <v>4</v>
      </c>
      <c r="L71" s="4" t="s">
        <v>920</v>
      </c>
      <c r="M71" s="4" t="s">
        <v>1063</v>
      </c>
      <c r="N71" s="4" t="s">
        <v>773</v>
      </c>
      <c r="O71" s="4" t="s">
        <v>1064</v>
      </c>
    </row>
    <row r="72" customFormat="false" ht="23.85" hidden="false" customHeight="false" outlineLevel="0" collapsed="false">
      <c r="A72" s="4" t="s">
        <v>1065</v>
      </c>
      <c r="B72" s="4" t="s">
        <v>893</v>
      </c>
      <c r="C72" s="4" t="s">
        <v>211</v>
      </c>
      <c r="D72" s="4" t="s">
        <v>212</v>
      </c>
      <c r="E72" s="4" t="s">
        <v>213</v>
      </c>
      <c r="F72" s="4" t="s">
        <v>909</v>
      </c>
      <c r="G72" s="4" t="s">
        <v>40</v>
      </c>
      <c r="H72" s="6" t="n">
        <v>5</v>
      </c>
      <c r="I72" s="6" t="s">
        <v>917</v>
      </c>
      <c r="J72" s="4" t="str">
        <f aca="false">IF(OR(I72="A",I72="A-",I72="B+",I72="B",I72="B-",I72="C+",I72="C"),"Yes","No")</f>
        <v>Yes</v>
      </c>
      <c r="K72" s="7" t="n">
        <f aca="false">IF(J72="No",0,IF(G72="Quarter",ROUNDDOWN(H72*2/3,2),H72))</f>
        <v>5</v>
      </c>
      <c r="L72" s="4" t="s">
        <v>44</v>
      </c>
      <c r="M72" s="4" t="s">
        <v>911</v>
      </c>
      <c r="N72" s="4" t="s">
        <v>37</v>
      </c>
      <c r="O72" s="4" t="s">
        <v>1066</v>
      </c>
    </row>
    <row r="73" customFormat="false" ht="15" hidden="false" customHeight="true" outlineLevel="0" collapsed="false">
      <c r="A73" s="4" t="s">
        <v>1067</v>
      </c>
      <c r="B73" s="4" t="s">
        <v>893</v>
      </c>
      <c r="C73" s="4" t="s">
        <v>211</v>
      </c>
      <c r="D73" s="4" t="s">
        <v>224</v>
      </c>
      <c r="E73" s="4" t="s">
        <v>225</v>
      </c>
      <c r="F73" s="4" t="s">
        <v>909</v>
      </c>
      <c r="G73" s="4" t="s">
        <v>40</v>
      </c>
      <c r="H73" s="6" t="n">
        <v>4</v>
      </c>
      <c r="I73" s="6" t="s">
        <v>914</v>
      </c>
      <c r="J73" s="4" t="str">
        <f aca="false">IF(OR(I73="A",I73="A-",I73="B+",I73="B",I73="B-",I73="C+",I73="C"),"Yes","No")</f>
        <v>Yes</v>
      </c>
      <c r="K73" s="7" t="n">
        <f aca="false">IF(J73="No",0,IF(G73="Quarter",ROUNDDOWN(H73*2/3,2),H73))</f>
        <v>4</v>
      </c>
      <c r="L73" s="4" t="s">
        <v>44</v>
      </c>
      <c r="M73" s="4" t="s">
        <v>911</v>
      </c>
      <c r="N73" s="4" t="s">
        <v>49</v>
      </c>
      <c r="O73" s="4" t="s">
        <v>1066</v>
      </c>
    </row>
    <row r="74" customFormat="false" ht="15" hidden="false" customHeight="false" outlineLevel="0" collapsed="false">
      <c r="A74" s="4" t="s">
        <v>1068</v>
      </c>
      <c r="B74" s="4" t="s">
        <v>893</v>
      </c>
      <c r="C74" s="4" t="s">
        <v>211</v>
      </c>
      <c r="D74" s="4" t="s">
        <v>331</v>
      </c>
      <c r="E74" s="4" t="s">
        <v>332</v>
      </c>
      <c r="F74" s="4" t="s">
        <v>909</v>
      </c>
      <c r="G74" s="4" t="s">
        <v>40</v>
      </c>
      <c r="H74" s="6" t="n">
        <v>4</v>
      </c>
      <c r="I74" s="6" t="s">
        <v>919</v>
      </c>
      <c r="J74" s="4" t="str">
        <f aca="false">IF(OR(I74="A",I74="A-",I74="B+",I74="B",I74="B-",I74="C+",I74="C"),"Yes","No")</f>
        <v>Yes</v>
      </c>
      <c r="K74" s="7" t="n">
        <f aca="false">IF(J74="No",0,IF(G74="Quarter",ROUNDDOWN(H74*2/3,2),H74))</f>
        <v>4</v>
      </c>
      <c r="L74" s="4" t="s">
        <v>44</v>
      </c>
      <c r="M74" s="4" t="s">
        <v>911</v>
      </c>
      <c r="N74" s="4" t="s">
        <v>182</v>
      </c>
      <c r="O74" s="4" t="s">
        <v>1066</v>
      </c>
    </row>
    <row r="75" customFormat="false" ht="15" hidden="false" customHeight="false" outlineLevel="0" collapsed="false">
      <c r="A75" s="4" t="s">
        <v>1069</v>
      </c>
      <c r="B75" s="4" t="s">
        <v>893</v>
      </c>
      <c r="C75" s="4" t="s">
        <v>211</v>
      </c>
      <c r="D75" s="4" t="s">
        <v>335</v>
      </c>
      <c r="E75" s="4" t="s">
        <v>336</v>
      </c>
      <c r="F75" s="4" t="s">
        <v>916</v>
      </c>
      <c r="G75" s="4" t="s">
        <v>40</v>
      </c>
      <c r="H75" s="6" t="n">
        <v>4</v>
      </c>
      <c r="I75" s="6" t="s">
        <v>914</v>
      </c>
      <c r="J75" s="4" t="str">
        <f aca="false">IF(OR(I75="A",I75="A-",I75="B+",I75="B",I75="B-",I75="C+",I75="C"),"Yes","No")</f>
        <v>Yes</v>
      </c>
      <c r="K75" s="7" t="n">
        <f aca="false">IF(J75="No",0,IF(G75="Quarter",ROUNDDOWN(H75*2/3,2),H75))</f>
        <v>4</v>
      </c>
      <c r="L75" s="4" t="s">
        <v>44</v>
      </c>
      <c r="M75" s="4" t="s">
        <v>911</v>
      </c>
      <c r="N75" s="4" t="s">
        <v>187</v>
      </c>
      <c r="O75" s="4" t="s">
        <v>1066</v>
      </c>
    </row>
    <row r="76" customFormat="false" ht="15" hidden="false" customHeight="false" outlineLevel="0" collapsed="false">
      <c r="A76" s="4" t="s">
        <v>1070</v>
      </c>
      <c r="B76" s="4" t="s">
        <v>893</v>
      </c>
      <c r="C76" s="4" t="s">
        <v>211</v>
      </c>
      <c r="D76" s="4" t="s">
        <v>259</v>
      </c>
      <c r="E76" s="4" t="s">
        <v>260</v>
      </c>
      <c r="F76" s="4" t="s">
        <v>916</v>
      </c>
      <c r="G76" s="4" t="s">
        <v>40</v>
      </c>
      <c r="H76" s="6" t="n">
        <v>4</v>
      </c>
      <c r="I76" s="6" t="s">
        <v>917</v>
      </c>
      <c r="J76" s="4" t="str">
        <f aca="false">IF(OR(I76="A",I76="A-",I76="B+",I76="B",I76="B-",I76="C+",I76="C"),"Yes","No")</f>
        <v>Yes</v>
      </c>
      <c r="K76" s="7" t="n">
        <f aca="false">IF(J76="No",0,IF(G76="Quarter",ROUNDDOWN(H76*2/3,2),H76))</f>
        <v>4</v>
      </c>
      <c r="L76" s="4" t="s">
        <v>44</v>
      </c>
      <c r="M76" s="4" t="s">
        <v>911</v>
      </c>
      <c r="N76" s="4" t="s">
        <v>92</v>
      </c>
      <c r="O76" s="4" t="s">
        <v>1066</v>
      </c>
    </row>
    <row r="77" customFormat="false" ht="15" hidden="false" customHeight="false" outlineLevel="0" collapsed="false">
      <c r="A77" s="4" t="s">
        <v>1071</v>
      </c>
      <c r="B77" s="4" t="s">
        <v>893</v>
      </c>
      <c r="C77" s="4" t="s">
        <v>211</v>
      </c>
      <c r="D77" s="4" t="s">
        <v>279</v>
      </c>
      <c r="E77" s="4" t="s">
        <v>280</v>
      </c>
      <c r="F77" s="4" t="s">
        <v>925</v>
      </c>
      <c r="G77" s="4" t="s">
        <v>40</v>
      </c>
      <c r="H77" s="6" t="n">
        <v>4</v>
      </c>
      <c r="I77" s="6" t="s">
        <v>919</v>
      </c>
      <c r="J77" s="4" t="str">
        <f aca="false">IF(OR(I77="A",I77="A-",I77="B+",I77="B",I77="B-",I77="C+",I77="C"),"Yes","No")</f>
        <v>Yes</v>
      </c>
      <c r="K77" s="7" t="n">
        <f aca="false">IF(J77="No",0,IF(G77="Quarter",ROUNDDOWN(H77*2/3,2),H77))</f>
        <v>4</v>
      </c>
      <c r="L77" s="4" t="s">
        <v>44</v>
      </c>
      <c r="M77" s="4" t="s">
        <v>911</v>
      </c>
      <c r="N77" s="4" t="s">
        <v>112</v>
      </c>
      <c r="O77" s="4" t="s">
        <v>1066</v>
      </c>
    </row>
    <row r="79" customFormat="false" ht="15" hidden="false" customHeight="false" outlineLevel="0" collapsed="false">
      <c r="A79" s="8" t="s">
        <v>1072</v>
      </c>
    </row>
  </sheetData>
  <autoFilter ref="A1:O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3" min="3" style="1" width="32"/>
    <col collapsed="false" customWidth="true" hidden="false" outlineLevel="0" max="4" min="4" style="1" width="110"/>
  </cols>
  <sheetData>
    <row r="1" customFormat="false" ht="1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1073</v>
      </c>
    </row>
    <row r="2" customFormat="false" ht="45.75" hidden="false" customHeight="true" outlineLevel="0" collapsed="false">
      <c r="A2" s="4" t="s">
        <v>502</v>
      </c>
      <c r="B2" s="4" t="s">
        <v>507</v>
      </c>
      <c r="C2" s="4" t="s">
        <v>508</v>
      </c>
      <c r="D2" s="4" t="s">
        <v>1074</v>
      </c>
    </row>
    <row r="3" customFormat="false" ht="45.75" hidden="false" customHeight="true" outlineLevel="0" collapsed="false">
      <c r="A3" s="4" t="s">
        <v>502</v>
      </c>
      <c r="B3" s="4" t="s">
        <v>535</v>
      </c>
      <c r="C3" s="4" t="s">
        <v>536</v>
      </c>
      <c r="D3" s="4" t="s">
        <v>1075</v>
      </c>
    </row>
    <row r="4" customFormat="false" ht="45.75" hidden="false" customHeight="true" outlineLevel="0" collapsed="false">
      <c r="A4" s="4" t="s">
        <v>555</v>
      </c>
      <c r="B4" s="4" t="s">
        <v>556</v>
      </c>
      <c r="C4" s="4" t="s">
        <v>196</v>
      </c>
      <c r="D4" s="4" t="s">
        <v>1076</v>
      </c>
    </row>
    <row r="5" customFormat="false" ht="23.25" hidden="false" customHeight="true" outlineLevel="0" collapsed="false">
      <c r="A5" s="4" t="s">
        <v>211</v>
      </c>
      <c r="B5" s="4" t="s">
        <v>216</v>
      </c>
      <c r="C5" s="4" t="s">
        <v>217</v>
      </c>
      <c r="D5" s="4" t="s">
        <v>1077</v>
      </c>
    </row>
    <row r="6" customFormat="false" ht="23.25" hidden="false" customHeight="true" outlineLevel="0" collapsed="false">
      <c r="A6" s="4" t="s">
        <v>358</v>
      </c>
      <c r="B6" s="4" t="s">
        <v>413</v>
      </c>
      <c r="C6" s="4" t="s">
        <v>414</v>
      </c>
      <c r="D6" s="4" t="s">
        <v>1078</v>
      </c>
    </row>
    <row r="7" customFormat="false" ht="34.5" hidden="false" customHeight="true" outlineLevel="0" collapsed="false">
      <c r="A7" s="4" t="s">
        <v>555</v>
      </c>
      <c r="B7" s="4" t="s">
        <v>581</v>
      </c>
      <c r="C7" s="4" t="s">
        <v>582</v>
      </c>
      <c r="D7" s="4" t="s">
        <v>1079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80"/>
    <col collapsed="false" customWidth="true" hidden="false" outlineLevel="0" max="5" min="4" style="1" width="18"/>
  </cols>
  <sheetData>
    <row r="1" customFormat="false" ht="26.25" hidden="false" customHeight="true" outlineLevel="0" collapsed="false">
      <c r="A1" s="5" t="s">
        <v>1080</v>
      </c>
      <c r="B1" s="5" t="s">
        <v>1081</v>
      </c>
      <c r="C1" s="5" t="s">
        <v>1082</v>
      </c>
      <c r="D1" s="5" t="s">
        <v>1083</v>
      </c>
      <c r="E1" s="5" t="s">
        <v>1084</v>
      </c>
    </row>
    <row r="2" customFormat="false" ht="15" hidden="false" customHeight="true" outlineLevel="0" collapsed="false">
      <c r="A2" s="4" t="s">
        <v>1085</v>
      </c>
      <c r="B2" s="4" t="s">
        <v>1086</v>
      </c>
      <c r="C2" s="4" t="s">
        <v>1087</v>
      </c>
      <c r="D2" s="4" t="s">
        <v>1088</v>
      </c>
      <c r="E2" s="4" t="s">
        <v>1089</v>
      </c>
    </row>
    <row r="3" customFormat="false" ht="15" hidden="false" customHeight="true" outlineLevel="0" collapsed="false">
      <c r="A3" s="4" t="s">
        <v>1090</v>
      </c>
      <c r="B3" s="4" t="s">
        <v>1091</v>
      </c>
      <c r="C3" s="4" t="s">
        <v>1092</v>
      </c>
      <c r="D3" s="4" t="s">
        <v>1088</v>
      </c>
      <c r="E3" s="4" t="s">
        <v>1089</v>
      </c>
    </row>
    <row r="4" customFormat="false" ht="15" hidden="false" customHeight="true" outlineLevel="0" collapsed="false">
      <c r="A4" s="4" t="s">
        <v>1093</v>
      </c>
      <c r="B4" s="4" t="s">
        <v>1094</v>
      </c>
      <c r="C4" s="4" t="s">
        <v>1095</v>
      </c>
      <c r="D4" s="4" t="s">
        <v>1088</v>
      </c>
      <c r="E4" s="4" t="s">
        <v>1089</v>
      </c>
    </row>
    <row r="5" customFormat="false" ht="15" hidden="false" customHeight="true" outlineLevel="0" collapsed="false">
      <c r="A5" s="4" t="s">
        <v>1096</v>
      </c>
      <c r="B5" s="4" t="s">
        <v>1097</v>
      </c>
      <c r="C5" s="4" t="s">
        <v>1098</v>
      </c>
      <c r="D5" s="4" t="s">
        <v>1088</v>
      </c>
      <c r="E5" s="4" t="s">
        <v>1089</v>
      </c>
    </row>
    <row r="6" customFormat="false" ht="15" hidden="false" customHeight="true" outlineLevel="0" collapsed="false">
      <c r="A6" s="4" t="s">
        <v>1099</v>
      </c>
      <c r="B6" s="4" t="s">
        <v>1100</v>
      </c>
      <c r="C6" s="4" t="s">
        <v>1101</v>
      </c>
      <c r="D6" s="4" t="s">
        <v>1088</v>
      </c>
      <c r="E6" s="4" t="s">
        <v>1089</v>
      </c>
    </row>
    <row r="7" customFormat="false" ht="15" hidden="false" customHeight="true" outlineLevel="0" collapsed="false">
      <c r="A7" s="4" t="s">
        <v>1102</v>
      </c>
      <c r="B7" s="4" t="s">
        <v>1103</v>
      </c>
      <c r="C7" s="4" t="s">
        <v>1104</v>
      </c>
      <c r="D7" s="4" t="s">
        <v>39</v>
      </c>
      <c r="E7" s="4" t="s">
        <v>1105</v>
      </c>
    </row>
    <row r="8" customFormat="false" ht="15" hidden="false" customHeight="true" outlineLevel="0" collapsed="false">
      <c r="A8" s="4" t="s">
        <v>1106</v>
      </c>
      <c r="B8" s="4" t="s">
        <v>1107</v>
      </c>
      <c r="C8" s="4" t="s">
        <v>1108</v>
      </c>
      <c r="D8" s="4" t="s">
        <v>89</v>
      </c>
      <c r="E8" s="4" t="s">
        <v>1105</v>
      </c>
    </row>
    <row r="9" customFormat="false" ht="15" hidden="false" customHeight="true" outlineLevel="0" collapsed="false">
      <c r="A9" s="4" t="s">
        <v>1109</v>
      </c>
      <c r="B9" s="4" t="s">
        <v>1110</v>
      </c>
      <c r="C9" s="4" t="s">
        <v>1111</v>
      </c>
      <c r="D9" s="4" t="s">
        <v>151</v>
      </c>
      <c r="E9" s="4" t="s">
        <v>1105</v>
      </c>
    </row>
    <row r="10" customFormat="false" ht="23.25" hidden="false" customHeight="true" outlineLevel="0" collapsed="false">
      <c r="A10" s="4" t="s">
        <v>1112</v>
      </c>
      <c r="B10" s="4" t="s">
        <v>1113</v>
      </c>
      <c r="C10" s="4" t="s">
        <v>1114</v>
      </c>
      <c r="D10" s="4" t="s">
        <v>1115</v>
      </c>
      <c r="E10" s="4" t="s">
        <v>1116</v>
      </c>
    </row>
    <row r="11" customFormat="false" ht="15" hidden="false" customHeight="true" outlineLevel="0" collapsed="false">
      <c r="A11" s="4" t="s">
        <v>1117</v>
      </c>
      <c r="B11" s="4" t="s">
        <v>1118</v>
      </c>
      <c r="C11" s="4" t="s">
        <v>1119</v>
      </c>
      <c r="D11" s="4" t="s">
        <v>1088</v>
      </c>
      <c r="E11" s="4" t="s">
        <v>1089</v>
      </c>
    </row>
    <row r="12" customFormat="false" ht="15" hidden="false" customHeight="true" outlineLevel="0" collapsed="false">
      <c r="A12" s="4" t="s">
        <v>1120</v>
      </c>
      <c r="B12" s="4" t="s">
        <v>1121</v>
      </c>
      <c r="C12" s="4" t="s">
        <v>1122</v>
      </c>
      <c r="D12" s="4" t="s">
        <v>1088</v>
      </c>
      <c r="E12" s="4" t="s">
        <v>1089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2B6E80BC1D334883049306D668CA4F" ma:contentTypeVersion="3" ma:contentTypeDescription="Create a new document." ma:contentTypeScope="" ma:versionID="5a32e3529ba85bae0fb163e40942e8fa">
  <xsd:schema xmlns:xsd="http://www.w3.org/2001/XMLSchema" xmlns:xs="http://www.w3.org/2001/XMLSchema" xmlns:p="http://schemas.microsoft.com/office/2006/metadata/properties" xmlns:ns2="c14ae775-013f-4a82-a0e4-9afc297da8f5" targetNamespace="http://schemas.microsoft.com/office/2006/metadata/properties" ma:root="true" ma:fieldsID="a0b5eaa986b45a35a460ab2d19157f41" ns2:_="">
    <xsd:import namespace="c14ae775-013f-4a82-a0e4-9afc297da8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ae775-013f-4a82-a0e4-9afc297da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658737-94EF-4263-BB65-1CC898CF471F}"/>
</file>

<file path=customXml/itemProps2.xml><?xml version="1.0" encoding="utf-8"?>
<ds:datastoreItem xmlns:ds="http://schemas.openxmlformats.org/officeDocument/2006/customXml" ds:itemID="{D18092E6-1BCA-49CF-B227-A14F895EA6D1}"/>
</file>

<file path=customXml/itemProps3.xml><?xml version="1.0" encoding="utf-8"?>
<ds:datastoreItem xmlns:ds="http://schemas.openxmlformats.org/officeDocument/2006/customXml" ds:itemID="{058B04E1-F186-47AC-BEBE-54C4C6E00C1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2026-10-26T05:23:16Z</dcterms:created>
  <dcterms:modified xsi:type="dcterms:W3CDTF">2026-10-26T07:18:50Z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0x010100832B6E80BC1D334883049306D668CA4F</vt:lpwstr>
  </property>
</Properties>
</file>